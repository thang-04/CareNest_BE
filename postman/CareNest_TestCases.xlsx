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Tổng hợp" sheetId="2" state="visible" r:id="rId2"/>
    <sheet name="Tài khoản &amp; dữ liệu" sheetId="3" state="visible" r:id="rId3"/>
    <sheet name="Mã lỗi" sheetId="4" state="visible" r:id="rId4"/>
  </sheets>
  <definedNames>
    <definedName name="_xlnm._FilterDatabase" localSheetId="0" hidden="1">'Test cases'!$A$1:$N$137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i val="1"/>
      <sz val="9"/>
    </font>
    <font>
      <name val="Arial"/>
      <b val="1"/>
    </font>
    <font>
      <name val="Arial"/>
    </font>
    <font>
      <name val="Arial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6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164" fontId="5" fillId="0" borderId="0" pivotButton="0" quotePrefix="0" xfId="0"/>
    <xf numFmtId="0" fontId="1" fillId="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8" customWidth="1" min="3" max="3"/>
    <col width="42" customWidth="1" min="4" max="4"/>
    <col width="9" customWidth="1" min="5" max="5"/>
    <col width="52" customWidth="1" min="6" max="6"/>
    <col width="20" customWidth="1" min="7" max="7"/>
    <col width="60" customWidth="1" min="8" max="8"/>
    <col width="10" customWidth="1" min="9" max="9"/>
    <col width="11" customWidth="1" min="10" max="10"/>
    <col width="45" customWidth="1" min="11" max="11"/>
    <col width="22" customWidth="1" min="12" max="12"/>
    <col width="12" customWidth="1" min="13" max="13"/>
    <col width="30" customWidth="1" min="14" max="14"/>
  </cols>
  <sheetData>
    <row r="1">
      <c r="A1" s="1" t="inlineStr">
        <is>
          <t>STT</t>
        </is>
      </c>
      <c r="B1" s="1" t="inlineStr">
        <is>
          <t>Mã TC</t>
        </is>
      </c>
      <c r="C1" s="1" t="inlineStr">
        <is>
          <t>Chức năng</t>
        </is>
      </c>
      <c r="D1" s="1" t="inlineStr">
        <is>
          <t>Tên test case</t>
        </is>
      </c>
      <c r="E1" s="1" t="inlineStr">
        <is>
          <t>Method</t>
        </is>
      </c>
      <c r="F1" s="1" t="inlineStr">
        <is>
          <t>API</t>
        </is>
      </c>
      <c r="G1" s="1" t="inlineStr">
        <is>
          <t>Người thực hiện (token)</t>
        </is>
      </c>
      <c r="H1" s="1" t="inlineStr">
        <is>
          <t>Dữ liệu đầu vào</t>
        </is>
      </c>
      <c r="I1" s="1" t="inlineStr">
        <is>
          <t>HTTP mong đợi</t>
        </is>
      </c>
      <c r="J1" s="1" t="inlineStr">
        <is>
          <t>Mã code mong đợi</t>
        </is>
      </c>
      <c r="K1" s="1" t="inlineStr">
        <is>
          <t>Kiểm tra thêm</t>
        </is>
      </c>
      <c r="L1" s="1" t="inlineStr">
        <is>
          <t>Kết quả thực tế</t>
        </is>
      </c>
      <c r="M1" s="1" t="inlineStr">
        <is>
          <t>Trạng thái</t>
        </is>
      </c>
      <c r="N1" s="1" t="inlineStr">
        <is>
          <t>Ghi chú</t>
        </is>
      </c>
    </row>
    <row r="2">
      <c r="A2" s="2" t="n">
        <v>1</v>
      </c>
      <c r="B2" s="2" t="inlineStr">
        <is>
          <t>TC001</t>
        </is>
      </c>
      <c r="C2" s="3" t="inlineStr">
        <is>
          <t>Đăng nhập &amp; token</t>
        </is>
      </c>
      <c r="D2" s="3" t="inlineStr">
        <is>
          <t>Đăng nhập sai mật khẩu</t>
        </is>
      </c>
      <c r="E2" s="2" t="inlineStr">
        <is>
          <t>POST</t>
        </is>
      </c>
      <c r="F2" s="3" t="inlineStr">
        <is>
          <t>/api/auth/login</t>
        </is>
      </c>
      <c r="G2" s="3" t="inlineStr">
        <is>
          <t>Không token</t>
        </is>
      </c>
      <c r="H2" s="3" t="inlineStr">
        <is>
          <t>{"identifier": "{{principalEmail}}", "password": "sai-mat-khau"}</t>
        </is>
      </c>
      <c r="I2" s="2" t="n">
        <v>401</v>
      </c>
      <c r="J2" s="2" t="n">
        <v>1101</v>
      </c>
      <c r="K2" s="3" t="inlineStr">
        <is>
          <t>Tài khoản hoặc mật khẩu không chính xác</t>
        </is>
      </c>
      <c r="L2" s="4" t="n"/>
      <c r="M2" s="5" t="n"/>
      <c r="N2" s="4" t="n"/>
    </row>
    <row r="3">
      <c r="A3" s="2" t="n">
        <v>2</v>
      </c>
      <c r="B3" s="2" t="inlineStr">
        <is>
          <t>TC002</t>
        </is>
      </c>
      <c r="C3" s="3" t="inlineStr">
        <is>
          <t>Đăng nhập &amp; token</t>
        </is>
      </c>
      <c r="D3" s="3" t="inlineStr">
        <is>
          <t>Đăng nhập tài khoản không tồn tại</t>
        </is>
      </c>
      <c r="E3" s="2" t="inlineStr">
        <is>
          <t>POST</t>
        </is>
      </c>
      <c r="F3" s="3" t="inlineStr">
        <is>
          <t>/api/auth/login</t>
        </is>
      </c>
      <c r="G3" s="3" t="inlineStr">
        <is>
          <t>Không token</t>
        </is>
      </c>
      <c r="H3" s="3" t="inlineStr">
        <is>
          <t>{"identifier": "khongco@gmail.com", "password": "abc12345"}</t>
        </is>
      </c>
      <c r="I3" s="2" t="n">
        <v>401</v>
      </c>
      <c r="J3" s="2" t="n">
        <v>1101</v>
      </c>
      <c r="K3" s="3" t="inlineStr">
        <is>
          <t>Không tiết lộ tài khoản có tồn tại hay không</t>
        </is>
      </c>
      <c r="L3" s="4" t="n"/>
      <c r="M3" s="5" t="n"/>
      <c r="N3" s="4" t="n"/>
    </row>
    <row r="4">
      <c r="A4" s="2" t="n">
        <v>3</v>
      </c>
      <c r="B4" s="2" t="inlineStr">
        <is>
          <t>TC003</t>
        </is>
      </c>
      <c r="C4" s="3" t="inlineStr">
        <is>
          <t>Đăng nhập &amp; token</t>
        </is>
      </c>
      <c r="D4" s="3" t="inlineStr">
        <is>
          <t>Đăng nhập thiếu dữ liệu</t>
        </is>
      </c>
      <c r="E4" s="2" t="inlineStr">
        <is>
          <t>POST</t>
        </is>
      </c>
      <c r="F4" s="3" t="inlineStr">
        <is>
          <t>/api/auth/login</t>
        </is>
      </c>
      <c r="G4" s="3" t="inlineStr">
        <is>
          <t>Không token</t>
        </is>
      </c>
      <c r="H4" s="3" t="inlineStr">
        <is>
          <t>{}</t>
        </is>
      </c>
      <c r="I4" s="2" t="n">
        <v>400</v>
      </c>
      <c r="J4" s="2" t="n">
        <v>1000</v>
      </c>
      <c r="K4" s="3" t="inlineStr">
        <is>
          <t>Báo lỗi trường identifier</t>
        </is>
      </c>
      <c r="L4" s="4" t="n"/>
      <c r="M4" s="5" t="n"/>
      <c r="N4" s="4" t="n"/>
    </row>
    <row r="5">
      <c r="A5" s="2" t="n">
        <v>4</v>
      </c>
      <c r="B5" s="2" t="inlineStr">
        <is>
          <t>TC004</t>
        </is>
      </c>
      <c r="C5" s="3" t="inlineStr">
        <is>
          <t>Đăng nhập &amp; token</t>
        </is>
      </c>
      <c r="D5" s="3" t="inlineStr">
        <is>
          <t>Hiệu trưởng đăng nhập (mobile)</t>
        </is>
      </c>
      <c r="E5" s="2" t="inlineStr">
        <is>
          <t>POST</t>
        </is>
      </c>
      <c r="F5" s="3" t="inlineStr">
        <is>
          <t>/api/auth/login</t>
        </is>
      </c>
      <c r="G5" s="3" t="inlineStr">
        <is>
          <t>Không token</t>
        </is>
      </c>
      <c r="H5" s="3" t="inlineStr">
        <is>
          <t>{"identifier": "{{principalEmail}}", "password": "{{principalPassword}}"}</t>
        </is>
      </c>
      <c r="I5" s="2" t="n">
        <v>200</v>
      </c>
      <c r="J5" s="2" t="n">
        <v>0</v>
      </c>
      <c r="K5" s="3" t="inlineStr">
        <is>
          <t>Có accessToken và refreshToken; tokenType = Bearer; Header X-Client-Type: mobile nên token nằm trong body</t>
        </is>
      </c>
      <c r="L5" s="4" t="n"/>
      <c r="M5" s="5" t="n"/>
      <c r="N5" s="4" t="n"/>
    </row>
    <row r="6">
      <c r="A6" s="2" t="n">
        <v>5</v>
      </c>
      <c r="B6" s="2" t="inlineStr">
        <is>
          <t>TC005</t>
        </is>
      </c>
      <c r="C6" s="3" t="inlineStr">
        <is>
          <t>Đăng nhập &amp; token</t>
        </is>
      </c>
      <c r="D6" s="3" t="inlineStr">
        <is>
          <t>Gọi API khi chưa đăng nhập</t>
        </is>
      </c>
      <c r="E6" s="2" t="inlineStr">
        <is>
          <t>GET</t>
        </is>
      </c>
      <c r="F6" s="3" t="inlineStr">
        <is>
          <t>/api/users/me</t>
        </is>
      </c>
      <c r="G6" s="3" t="inlineStr">
        <is>
          <t>Không token</t>
        </is>
      </c>
      <c r="H6" s="3" t="inlineStr"/>
      <c r="I6" s="2" t="n">
        <v>401</v>
      </c>
      <c r="J6" s="2" t="n">
        <v>1100</v>
      </c>
      <c r="K6" s="3" t="inlineStr"/>
      <c r="L6" s="4" t="n"/>
      <c r="M6" s="5" t="n"/>
      <c r="N6" s="4" t="n"/>
    </row>
    <row r="7">
      <c r="A7" s="2" t="n">
        <v>6</v>
      </c>
      <c r="B7" s="2" t="inlineStr">
        <is>
          <t>TC006</t>
        </is>
      </c>
      <c r="C7" s="3" t="inlineStr">
        <is>
          <t>Đăng nhập &amp; token</t>
        </is>
      </c>
      <c r="D7" s="3" t="inlineStr">
        <is>
          <t>Gọi API với token giả</t>
        </is>
      </c>
      <c r="E7" s="2" t="inlineStr">
        <is>
          <t>GET</t>
        </is>
      </c>
      <c r="F7" s="3" t="inlineStr">
        <is>
          <t>/api/users/me</t>
        </is>
      </c>
      <c r="G7" s="3" t="inlineStr">
        <is>
          <t>Token giả</t>
        </is>
      </c>
      <c r="H7" s="3" t="inlineStr"/>
      <c r="I7" s="2" t="n">
        <v>401</v>
      </c>
      <c r="J7" s="2" t="n">
        <v>1104</v>
      </c>
      <c r="K7" s="3" t="inlineStr"/>
      <c r="L7" s="4" t="n"/>
      <c r="M7" s="5" t="n"/>
      <c r="N7" s="4" t="n"/>
    </row>
    <row r="8">
      <c r="A8" s="2" t="n">
        <v>7</v>
      </c>
      <c r="B8" s="2" t="inlineStr">
        <is>
          <t>TC007</t>
        </is>
      </c>
      <c r="C8" s="3" t="inlineStr">
        <is>
          <t>Đăng nhập &amp; token</t>
        </is>
      </c>
      <c r="D8" s="3" t="inlineStr">
        <is>
          <t>Xem thông tin tài khoản Hiệu trưởng</t>
        </is>
      </c>
      <c r="E8" s="2" t="inlineStr">
        <is>
          <t>GET</t>
        </is>
      </c>
      <c r="F8" s="3" t="inlineStr">
        <is>
          <t>/api/users/me</t>
        </is>
      </c>
      <c r="G8" s="3" t="inlineStr">
        <is>
          <t>Hiệu trưởng</t>
        </is>
      </c>
      <c r="H8" s="3" t="inlineStr"/>
      <c r="I8" s="2" t="n">
        <v>200</v>
      </c>
      <c r="J8" s="2" t="n">
        <v>0</v>
      </c>
      <c r="K8" s="3" t="inlineStr">
        <is>
          <t>Có role PRINCIPAL; Trạng thái ACTIVE</t>
        </is>
      </c>
      <c r="L8" s="4" t="n"/>
      <c r="M8" s="5" t="n"/>
      <c r="N8" s="4" t="n"/>
    </row>
    <row r="9">
      <c r="A9" s="2" t="n">
        <v>8</v>
      </c>
      <c r="B9" s="2" t="inlineStr">
        <is>
          <t>TC008</t>
        </is>
      </c>
      <c r="C9" s="3" t="inlineStr">
        <is>
          <t>Đăng nhập &amp; token</t>
        </is>
      </c>
      <c r="D9" s="3" t="inlineStr">
        <is>
          <t>Làm mới token (refresh)</t>
        </is>
      </c>
      <c r="E9" s="2" t="inlineStr">
        <is>
          <t>POST</t>
        </is>
      </c>
      <c r="F9" s="3" t="inlineStr">
        <is>
          <t>/api/auth/refresh-token</t>
        </is>
      </c>
      <c r="G9" s="3" t="inlineStr">
        <is>
          <t>Không token</t>
        </is>
      </c>
      <c r="H9" s="3" t="inlineStr">
        <is>
          <t>{"refreshToken": "{{principalRefresh}}"}</t>
        </is>
      </c>
      <c r="I9" s="2" t="n">
        <v>200</v>
      </c>
      <c r="J9" s="2" t="n">
        <v>0</v>
      </c>
      <c r="K9" s="3" t="inlineStr">
        <is>
          <t>Refresh token mới khác token cũ</t>
        </is>
      </c>
      <c r="L9" s="4" t="n"/>
      <c r="M9" s="5" t="n"/>
      <c r="N9" s="4" t="n"/>
    </row>
    <row r="10">
      <c r="A10" s="2" t="n">
        <v>9</v>
      </c>
      <c r="B10" s="2" t="inlineStr">
        <is>
          <t>TC009</t>
        </is>
      </c>
      <c r="C10" s="3" t="inlineStr">
        <is>
          <t>Đăng nhập &amp; token</t>
        </is>
      </c>
      <c r="D10" s="3" t="inlineStr">
        <is>
          <t>Dùng lại refresh token cũ (đã bị thu hồi)</t>
        </is>
      </c>
      <c r="E10" s="2" t="inlineStr">
        <is>
          <t>POST</t>
        </is>
      </c>
      <c r="F10" s="3" t="inlineStr">
        <is>
          <t>/api/auth/refresh-token</t>
        </is>
      </c>
      <c r="G10" s="3" t="inlineStr">
        <is>
          <t>Không token</t>
        </is>
      </c>
      <c r="H10" s="3" t="inlineStr">
        <is>
          <t>{"refreshToken": "{{oldPrincipalRefresh}}"}</t>
        </is>
      </c>
      <c r="I10" s="2" t="n">
        <v>401</v>
      </c>
      <c r="J10" s="2" t="n">
        <v>1104</v>
      </c>
      <c r="K10" s="3" t="inlineStr"/>
      <c r="L10" s="4" t="n"/>
      <c r="M10" s="5" t="n"/>
      <c r="N10" s="4" t="n"/>
    </row>
    <row r="11">
      <c r="A11" s="2" t="n">
        <v>10</v>
      </c>
      <c r="B11" s="2" t="inlineStr">
        <is>
          <t>TC010</t>
        </is>
      </c>
      <c r="C11" s="3" t="inlineStr">
        <is>
          <t>Đăng nhập &amp; token</t>
        </is>
      </c>
      <c r="D11" s="3" t="inlineStr">
        <is>
          <t>Dùng refresh token thay access token</t>
        </is>
      </c>
      <c r="E11" s="2" t="inlineStr">
        <is>
          <t>GET</t>
        </is>
      </c>
      <c r="F11" s="3" t="inlineStr">
        <is>
          <t>/api/users/me</t>
        </is>
      </c>
      <c r="G11" s="3" t="inlineStr">
        <is>
          <t>Refresh token HT</t>
        </is>
      </c>
      <c r="H11" s="3" t="inlineStr"/>
      <c r="I11" s="2" t="n">
        <v>401</v>
      </c>
      <c r="J11" s="2" t="n">
        <v>0</v>
      </c>
      <c r="K11" s="3" t="inlineStr"/>
      <c r="L11" s="4" t="n"/>
      <c r="M11" s="5" t="n"/>
      <c r="N11" s="4" t="n"/>
    </row>
    <row r="12">
      <c r="A12" s="2" t="n">
        <v>11</v>
      </c>
      <c r="B12" s="2" t="inlineStr">
        <is>
          <t>TC011</t>
        </is>
      </c>
      <c r="C12" s="3" t="inlineStr">
        <is>
          <t>Quản lý tài khoản</t>
        </is>
      </c>
      <c r="D12" s="3" t="inlineStr">
        <is>
          <t>Hiệu trưởng tạo Phó hiệu trưởng</t>
        </is>
      </c>
      <c r="E12" s="2" t="inlineStr">
        <is>
          <t>POST</t>
        </is>
      </c>
      <c r="F12" s="3" t="inlineStr">
        <is>
          <t>/api/management/staff</t>
        </is>
      </c>
      <c r="G12" s="3" t="inlineStr">
        <is>
          <t>Hiệu trưởng</t>
        </is>
      </c>
      <c r="H12" s="3" t="inlineStr">
        <is>
          <t>{"email": "{{viceEmail}}", "fullName": "Cô Mai", "password": "vice1234", "role": "VICE_PRINCIPAL"}</t>
        </is>
      </c>
      <c r="I12" s="2" t="n">
        <v>201</v>
      </c>
      <c r="J12" s="2" t="n">
        <v>0</v>
      </c>
      <c r="K12" s="3" t="inlineStr">
        <is>
          <t>Role VICE_PRINCIPAL; Bắt đổi mật khẩu lần đầu</t>
        </is>
      </c>
      <c r="L12" s="4" t="n"/>
      <c r="M12" s="5" t="n"/>
      <c r="N12" s="4" t="n"/>
    </row>
    <row r="13">
      <c r="A13" s="2" t="n">
        <v>12</v>
      </c>
      <c r="B13" s="2" t="inlineStr">
        <is>
          <t>TC012</t>
        </is>
      </c>
      <c r="C13" s="3" t="inlineStr">
        <is>
          <t>Quản lý tài khoản</t>
        </is>
      </c>
      <c r="D13" s="3" t="inlineStr">
        <is>
          <t>Phó hiệu trưởng đăng nhập</t>
        </is>
      </c>
      <c r="E13" s="2" t="inlineStr">
        <is>
          <t>POST</t>
        </is>
      </c>
      <c r="F13" s="3" t="inlineStr">
        <is>
          <t>/api/auth/login</t>
        </is>
      </c>
      <c r="G13" s="3" t="inlineStr">
        <is>
          <t>Không token</t>
        </is>
      </c>
      <c r="H13" s="3" t="inlineStr">
        <is>
          <t>{"identifier": "{{viceEmail}}", "password": "vice1234"}</t>
        </is>
      </c>
      <c r="I13" s="2" t="n">
        <v>200</v>
      </c>
      <c r="J13" s="2" t="n">
        <v>0</v>
      </c>
      <c r="K13" s="3" t="inlineStr">
        <is>
          <t>mustChangePassword = true</t>
        </is>
      </c>
      <c r="L13" s="4" t="n"/>
      <c r="M13" s="5" t="n"/>
      <c r="N13" s="4" t="n"/>
    </row>
    <row r="14">
      <c r="A14" s="2" t="n">
        <v>13</v>
      </c>
      <c r="B14" s="2" t="inlineStr">
        <is>
          <t>TC013</t>
        </is>
      </c>
      <c r="C14" s="3" t="inlineStr">
        <is>
          <t>Quản lý tài khoản</t>
        </is>
      </c>
      <c r="D14" s="3" t="inlineStr">
        <is>
          <t>Phó HT tạo Giáo viên (email viết hoa)</t>
        </is>
      </c>
      <c r="E14" s="2" t="inlineStr">
        <is>
          <t>POST</t>
        </is>
      </c>
      <c r="F14" s="3" t="inlineStr">
        <is>
          <t>/api/management/staff</t>
        </is>
      </c>
      <c r="G14" s="3" t="inlineStr">
        <is>
          <t>Phó hiệu trưởng</t>
        </is>
      </c>
      <c r="H14" s="3" t="inlineStr">
        <is>
          <t>{"email": "GV{{runId}}@Gmail.com", "fullName": "Cô Lan", "phoneNumber": "{{teacherPhone}}", "password": "teacher123", "role": "TEACHER"}</t>
        </is>
      </c>
      <c r="I14" s="2" t="n">
        <v>201</v>
      </c>
      <c r="J14" s="2" t="n">
        <v>0</v>
      </c>
      <c r="K14" s="3" t="inlineStr">
        <is>
          <t>Email được chuẩn hoá chữ thường</t>
        </is>
      </c>
      <c r="L14" s="4" t="n"/>
      <c r="M14" s="5" t="n"/>
      <c r="N14" s="4" t="n"/>
    </row>
    <row r="15">
      <c r="A15" s="2" t="n">
        <v>14</v>
      </c>
      <c r="B15" s="2" t="inlineStr">
        <is>
          <t>TC014</t>
        </is>
      </c>
      <c r="C15" s="3" t="inlineStr">
        <is>
          <t>Quản lý tài khoản</t>
        </is>
      </c>
      <c r="D15" s="3" t="inlineStr">
        <is>
          <t>Phó HT tạo Nhân viên</t>
        </is>
      </c>
      <c r="E15" s="2" t="inlineStr">
        <is>
          <t>POST</t>
        </is>
      </c>
      <c r="F15" s="3" t="inlineStr">
        <is>
          <t>/api/management/staff</t>
        </is>
      </c>
      <c r="G15" s="3" t="inlineStr">
        <is>
          <t>Phó hiệu trưởng</t>
        </is>
      </c>
      <c r="H15" s="3" t="inlineStr">
        <is>
          <t>{"email": "{{staffEmail}}", "fullName": "Chú Bảo", "password": "staff1234", "role": "STAFF"}</t>
        </is>
      </c>
      <c r="I15" s="2" t="n">
        <v>201</v>
      </c>
      <c r="J15" s="2" t="n">
        <v>0</v>
      </c>
      <c r="K15" s="3" t="inlineStr">
        <is>
          <t>Role STAFF</t>
        </is>
      </c>
      <c r="L15" s="4" t="n"/>
      <c r="M15" s="5" t="n"/>
      <c r="N15" s="4" t="n"/>
    </row>
    <row r="16">
      <c r="A16" s="2" t="n">
        <v>15</v>
      </c>
      <c r="B16" s="2" t="inlineStr">
        <is>
          <t>TC015</t>
        </is>
      </c>
      <c r="C16" s="3" t="inlineStr">
        <is>
          <t>Quản lý tài khoản</t>
        </is>
      </c>
      <c r="D16" s="3" t="inlineStr">
        <is>
          <t>Phó HT tạo Phó HT khác (không được phép)</t>
        </is>
      </c>
      <c r="E16" s="2" t="inlineStr">
        <is>
          <t>POST</t>
        </is>
      </c>
      <c r="F16" s="3" t="inlineStr">
        <is>
          <t>/api/management/staff</t>
        </is>
      </c>
      <c r="G16" s="3" t="inlineStr">
        <is>
          <t>Phó hiệu trưởng</t>
        </is>
      </c>
      <c r="H16" s="3" t="inlineStr">
        <is>
          <t>{"email": "x{{runId}}@gmail.com", "fullName": "X", "password": "vice1234", "role": "VICE_PRINCIPAL"}</t>
        </is>
      </c>
      <c r="I16" s="2" t="n">
        <v>403</v>
      </c>
      <c r="J16" s="2" t="n">
        <v>1103</v>
      </c>
      <c r="K16" s="3" t="inlineStr"/>
      <c r="L16" s="4" t="n"/>
      <c r="M16" s="5" t="n"/>
      <c r="N16" s="4" t="n"/>
    </row>
    <row r="17">
      <c r="A17" s="2" t="n">
        <v>16</v>
      </c>
      <c r="B17" s="2" t="inlineStr">
        <is>
          <t>TC016</t>
        </is>
      </c>
      <c r="C17" s="3" t="inlineStr">
        <is>
          <t>Quản lý tài khoản</t>
        </is>
      </c>
      <c r="D17" s="3" t="inlineStr">
        <is>
          <t>Tạo tài khoản Hiệu trưởng (không được phép)</t>
        </is>
      </c>
      <c r="E17" s="2" t="inlineStr">
        <is>
          <t>POST</t>
        </is>
      </c>
      <c r="F17" s="3" t="inlineStr">
        <is>
          <t>/api/management/staff</t>
        </is>
      </c>
      <c r="G17" s="3" t="inlineStr">
        <is>
          <t>Hiệu trưởng</t>
        </is>
      </c>
      <c r="H17" s="3" t="inlineStr">
        <is>
          <t>{"email": "y{{runId}}@gmail.com", "fullName": "Y", "password": "abc12345", "role": "PRINCIPAL"}</t>
        </is>
      </c>
      <c r="I17" s="2" t="n">
        <v>400</v>
      </c>
      <c r="J17" s="2" t="n">
        <v>1207</v>
      </c>
      <c r="K17" s="3" t="inlineStr"/>
      <c r="L17" s="4" t="n"/>
      <c r="M17" s="5" t="n"/>
      <c r="N17" s="4" t="n"/>
    </row>
    <row r="18">
      <c r="A18" s="2" t="n">
        <v>17</v>
      </c>
      <c r="B18" s="2" t="inlineStr">
        <is>
          <t>TC017</t>
        </is>
      </c>
      <c r="C18" s="3" t="inlineStr">
        <is>
          <t>Quản lý tài khoản</t>
        </is>
      </c>
      <c r="D18" s="3" t="inlineStr">
        <is>
          <t>Tạo tài khoản với email đã tồn tại</t>
        </is>
      </c>
      <c r="E18" s="2" t="inlineStr">
        <is>
          <t>POST</t>
        </is>
      </c>
      <c r="F18" s="3" t="inlineStr">
        <is>
          <t>/api/management/staff</t>
        </is>
      </c>
      <c r="G18" s="3" t="inlineStr">
        <is>
          <t>Hiệu trưởng</t>
        </is>
      </c>
      <c r="H18" s="3" t="inlineStr">
        <is>
          <t>{"email": "{{teacherEmail}}", "fullName": "Trùng", "password": "abc12345", "role": "TEACHER"}</t>
        </is>
      </c>
      <c r="I18" s="2" t="n">
        <v>409</v>
      </c>
      <c r="J18" s="2" t="n">
        <v>1200</v>
      </c>
      <c r="K18" s="3" t="inlineStr"/>
      <c r="L18" s="4" t="n"/>
      <c r="M18" s="5" t="n"/>
      <c r="N18" s="4" t="n"/>
    </row>
    <row r="19">
      <c r="A19" s="2" t="n">
        <v>18</v>
      </c>
      <c r="B19" s="2" t="inlineStr">
        <is>
          <t>TC018</t>
        </is>
      </c>
      <c r="C19" s="3" t="inlineStr">
        <is>
          <t>Quản lý tài khoản</t>
        </is>
      </c>
      <c r="D19" s="3" t="inlineStr">
        <is>
          <t>Tạo tài khoản với SĐT đã tồn tại</t>
        </is>
      </c>
      <c r="E19" s="2" t="inlineStr">
        <is>
          <t>POST</t>
        </is>
      </c>
      <c r="F19" s="3" t="inlineStr">
        <is>
          <t>/api/management/staff</t>
        </is>
      </c>
      <c r="G19" s="3" t="inlineStr">
        <is>
          <t>Hiệu trưởng</t>
        </is>
      </c>
      <c r="H19" s="3" t="inlineStr">
        <is>
          <t>{"email": "z{{runId}}@gmail.com", "fullName": "Trùng", "phoneNumber": "{{teacherPhone}}", "password": "abc12345", "role": "TEACHER"}</t>
        </is>
      </c>
      <c r="I19" s="2" t="n">
        <v>409</v>
      </c>
      <c r="J19" s="2" t="n">
        <v>1201</v>
      </c>
      <c r="K19" s="3" t="inlineStr"/>
      <c r="L19" s="4" t="n"/>
      <c r="M19" s="5" t="n"/>
      <c r="N19" s="4" t="n"/>
    </row>
    <row r="20">
      <c r="A20" s="2" t="n">
        <v>19</v>
      </c>
      <c r="B20" s="2" t="inlineStr">
        <is>
          <t>TC019</t>
        </is>
      </c>
      <c r="C20" s="3" t="inlineStr">
        <is>
          <t>Quản lý tài khoản</t>
        </is>
      </c>
      <c r="D20" s="3" t="inlineStr">
        <is>
          <t>Tạo tài khoản mật khẩu yếu</t>
        </is>
      </c>
      <c r="E20" s="2" t="inlineStr">
        <is>
          <t>POST</t>
        </is>
      </c>
      <c r="F20" s="3" t="inlineStr">
        <is>
          <t>/api/management/staff</t>
        </is>
      </c>
      <c r="G20" s="3" t="inlineStr">
        <is>
          <t>Hiệu trưởng</t>
        </is>
      </c>
      <c r="H20" s="3" t="inlineStr">
        <is>
          <t>{"email": "w{{runId}}@gmail.com", "fullName": "W", "password": "123", "role": "TEACHER"}</t>
        </is>
      </c>
      <c r="I20" s="2" t="n">
        <v>400</v>
      </c>
      <c r="J20" s="2" t="n">
        <v>1000</v>
      </c>
      <c r="K20" s="3" t="inlineStr">
        <is>
          <t>Báo lỗi trường password</t>
        </is>
      </c>
      <c r="L20" s="4" t="n"/>
      <c r="M20" s="5" t="n"/>
      <c r="N20" s="4" t="n"/>
    </row>
    <row r="21">
      <c r="A21" s="2" t="n">
        <v>20</v>
      </c>
      <c r="B21" s="2" t="inlineStr">
        <is>
          <t>TC020</t>
        </is>
      </c>
      <c r="C21" s="3" t="inlineStr">
        <is>
          <t>Quản lý tài khoản</t>
        </is>
      </c>
      <c r="D21" s="3" t="inlineStr">
        <is>
          <t>Tạo tài khoản email sai định dạng</t>
        </is>
      </c>
      <c r="E21" s="2" t="inlineStr">
        <is>
          <t>POST</t>
        </is>
      </c>
      <c r="F21" s="3" t="inlineStr">
        <is>
          <t>/api/management/staff</t>
        </is>
      </c>
      <c r="G21" s="3" t="inlineStr">
        <is>
          <t>Hiệu trưởng</t>
        </is>
      </c>
      <c r="H21" s="3" t="inlineStr">
        <is>
          <t>{"email": "khong-phai-email", "fullName": "W", "password": "abc12345", "role": "TEACHER"}</t>
        </is>
      </c>
      <c r="I21" s="2" t="n">
        <v>400</v>
      </c>
      <c r="J21" s="2" t="n">
        <v>1000</v>
      </c>
      <c r="K21" s="3" t="inlineStr">
        <is>
          <t>Báo lỗi trường email</t>
        </is>
      </c>
      <c r="L21" s="4" t="n"/>
      <c r="M21" s="5" t="n"/>
      <c r="N21" s="4" t="n"/>
    </row>
    <row r="22">
      <c r="A22" s="2" t="n">
        <v>21</v>
      </c>
      <c r="B22" s="2" t="inlineStr">
        <is>
          <t>TC021</t>
        </is>
      </c>
      <c r="C22" s="3" t="inlineStr">
        <is>
          <t>Quản lý tài khoản</t>
        </is>
      </c>
      <c r="D22" s="3" t="inlineStr">
        <is>
          <t>Tạo tài khoản thiếu role</t>
        </is>
      </c>
      <c r="E22" s="2" t="inlineStr">
        <is>
          <t>POST</t>
        </is>
      </c>
      <c r="F22" s="3" t="inlineStr">
        <is>
          <t>/api/management/staff</t>
        </is>
      </c>
      <c r="G22" s="3" t="inlineStr">
        <is>
          <t>Hiệu trưởng</t>
        </is>
      </c>
      <c r="H22" s="3" t="inlineStr">
        <is>
          <t>{"email": "v{{runId}}@gmail.com", "fullName": "V", "password": "abc12345"}</t>
        </is>
      </c>
      <c r="I22" s="2" t="n">
        <v>400</v>
      </c>
      <c r="J22" s="2" t="n">
        <v>1000</v>
      </c>
      <c r="K22" s="3" t="inlineStr">
        <is>
          <t>Báo lỗi trường role</t>
        </is>
      </c>
      <c r="L22" s="4" t="n"/>
      <c r="M22" s="5" t="n"/>
      <c r="N22" s="4" t="n"/>
    </row>
    <row r="23">
      <c r="A23" s="2" t="n">
        <v>22</v>
      </c>
      <c r="B23" s="2" t="inlineStr">
        <is>
          <t>TC022</t>
        </is>
      </c>
      <c r="C23" s="3" t="inlineStr">
        <is>
          <t>Quản lý tài khoản</t>
        </is>
      </c>
      <c r="D23" s="3" t="inlineStr">
        <is>
          <t>Tạo tài khoản role không tồn tại</t>
        </is>
      </c>
      <c r="E23" s="2" t="inlineStr">
        <is>
          <t>POST</t>
        </is>
      </c>
      <c r="F23" s="3" t="inlineStr">
        <is>
          <t>/api/management/staff</t>
        </is>
      </c>
      <c r="G23" s="3" t="inlineStr">
        <is>
          <t>Hiệu trưởng</t>
        </is>
      </c>
      <c r="H23" s="3" t="inlineStr">
        <is>
          <t>{"email": "u{{runId}}@gmail.com", "fullName": "U", "password": "abc12345", "role": "ABC"}</t>
        </is>
      </c>
      <c r="I23" s="2" t="n">
        <v>400</v>
      </c>
      <c r="J23" s="2" t="n">
        <v>1001</v>
      </c>
      <c r="K23" s="3" t="inlineStr"/>
      <c r="L23" s="4" t="n"/>
      <c r="M23" s="5" t="n"/>
      <c r="N23" s="4" t="n"/>
    </row>
    <row r="24">
      <c r="A24" s="2" t="n">
        <v>23</v>
      </c>
      <c r="B24" s="2" t="inlineStr">
        <is>
          <t>TC023</t>
        </is>
      </c>
      <c r="C24" s="3" t="inlineStr">
        <is>
          <t>Quản lý tài khoản</t>
        </is>
      </c>
      <c r="D24" s="3" t="inlineStr">
        <is>
          <t>Hiệu trưởng tạo Phó HT thứ 2</t>
        </is>
      </c>
      <c r="E24" s="2" t="inlineStr">
        <is>
          <t>POST</t>
        </is>
      </c>
      <c r="F24" s="3" t="inlineStr">
        <is>
          <t>/api/management/staff</t>
        </is>
      </c>
      <c r="G24" s="3" t="inlineStr">
        <is>
          <t>Hiệu trưởng</t>
        </is>
      </c>
      <c r="H24" s="3" t="inlineStr">
        <is>
          <t>{"email": "{{vice2Email}}", "fullName": "Thầy Nam", "password": "vice1234", "role": "VICE_PRINCIPAL"}</t>
        </is>
      </c>
      <c r="I24" s="2" t="n">
        <v>201</v>
      </c>
      <c r="J24" s="2" t="n">
        <v>0</v>
      </c>
      <c r="K24" s="3" t="inlineStr"/>
      <c r="L24" s="4" t="n"/>
      <c r="M24" s="5" t="n"/>
      <c r="N24" s="4" t="n"/>
    </row>
    <row r="25">
      <c r="A25" s="2" t="n">
        <v>24</v>
      </c>
      <c r="B25" s="2" t="inlineStr">
        <is>
          <t>TC024</t>
        </is>
      </c>
      <c r="C25" s="3" t="inlineStr">
        <is>
          <t>Quản lý tài khoản</t>
        </is>
      </c>
      <c r="D25" s="3" t="inlineStr">
        <is>
          <t>Giáo viên đăng nhập bằng email</t>
        </is>
      </c>
      <c r="E25" s="2" t="inlineStr">
        <is>
          <t>POST</t>
        </is>
      </c>
      <c r="F25" s="3" t="inlineStr">
        <is>
          <t>/api/auth/login</t>
        </is>
      </c>
      <c r="G25" s="3" t="inlineStr">
        <is>
          <t>Không token</t>
        </is>
      </c>
      <c r="H25" s="3" t="inlineStr">
        <is>
          <t>{"identifier": "{{teacherEmail}}", "password": "teacher123"}</t>
        </is>
      </c>
      <c r="I25" s="2" t="n">
        <v>200</v>
      </c>
      <c r="J25" s="2" t="n">
        <v>0</v>
      </c>
      <c r="K25" s="3" t="inlineStr"/>
      <c r="L25" s="4" t="n"/>
      <c r="M25" s="5" t="n"/>
      <c r="N25" s="4" t="n"/>
    </row>
    <row r="26">
      <c r="A26" s="2" t="n">
        <v>25</v>
      </c>
      <c r="B26" s="2" t="inlineStr">
        <is>
          <t>TC025</t>
        </is>
      </c>
      <c r="C26" s="3" t="inlineStr">
        <is>
          <t>Quản lý tài khoản</t>
        </is>
      </c>
      <c r="D26" s="3" t="inlineStr">
        <is>
          <t>Giáo viên gọi API quản lý (không được phép)</t>
        </is>
      </c>
      <c r="E26" s="2" t="inlineStr">
        <is>
          <t>POST</t>
        </is>
      </c>
      <c r="F26" s="3" t="inlineStr">
        <is>
          <t>/api/management/staff</t>
        </is>
      </c>
      <c r="G26" s="3" t="inlineStr">
        <is>
          <t>Giáo viên</t>
        </is>
      </c>
      <c r="H26" s="3" t="inlineStr">
        <is>
          <t>{"email": "t{{runId}}@gmail.com", "fullName": "T", "password": "abc12345", "role": "TEACHER"}</t>
        </is>
      </c>
      <c r="I26" s="2" t="n">
        <v>403</v>
      </c>
      <c r="J26" s="2" t="n">
        <v>1103</v>
      </c>
      <c r="K26" s="3" t="inlineStr"/>
      <c r="L26" s="4" t="n"/>
      <c r="M26" s="5" t="n"/>
      <c r="N26" s="4" t="n"/>
    </row>
    <row r="27">
      <c r="A27" s="2" t="n">
        <v>26</v>
      </c>
      <c r="B27" s="2" t="inlineStr">
        <is>
          <t>TC026</t>
        </is>
      </c>
      <c r="C27" s="3" t="inlineStr">
        <is>
          <t>Quản lý tài khoản</t>
        </is>
      </c>
      <c r="D27" s="3" t="inlineStr">
        <is>
          <t>Chỉ định tổ trưởng</t>
        </is>
      </c>
      <c r="E27" s="2" t="inlineStr">
        <is>
          <t>PUT</t>
        </is>
      </c>
      <c r="F27" s="3" t="inlineStr">
        <is>
          <t>/api/management/teachers/{{teacherId}}/head-teacher</t>
        </is>
      </c>
      <c r="G27" s="3" t="inlineStr">
        <is>
          <t>Phó hiệu trưởng</t>
        </is>
      </c>
      <c r="H27" s="3" t="inlineStr"/>
      <c r="I27" s="2" t="n">
        <v>200</v>
      </c>
      <c r="J27" s="2" t="n">
        <v>0</v>
      </c>
      <c r="K27" s="3" t="inlineStr">
        <is>
          <t>Có cả TEACHER và HEAD_TEACHER</t>
        </is>
      </c>
      <c r="L27" s="4" t="n"/>
      <c r="M27" s="5" t="n"/>
      <c r="N27" s="4" t="n"/>
    </row>
    <row r="28">
      <c r="A28" s="2" t="n">
        <v>27</v>
      </c>
      <c r="B28" s="2" t="inlineStr">
        <is>
          <t>TC027</t>
        </is>
      </c>
      <c r="C28" s="3" t="inlineStr">
        <is>
          <t>Quản lý tài khoản</t>
        </is>
      </c>
      <c r="D28" s="3" t="inlineStr">
        <is>
          <t>Chỉ định tổ trưởng cho Nhân viên</t>
        </is>
      </c>
      <c r="E28" s="2" t="inlineStr">
        <is>
          <t>PUT</t>
        </is>
      </c>
      <c r="F28" s="3" t="inlineStr">
        <is>
          <t>/api/management/teachers/{{staffId}}/head-teacher</t>
        </is>
      </c>
      <c r="G28" s="3" t="inlineStr">
        <is>
          <t>Phó hiệu trưởng</t>
        </is>
      </c>
      <c r="H28" s="3" t="inlineStr"/>
      <c r="I28" s="2" t="n">
        <v>404</v>
      </c>
      <c r="J28" s="2" t="n">
        <v>1208</v>
      </c>
      <c r="K28" s="3" t="inlineStr"/>
      <c r="L28" s="4" t="n"/>
      <c r="M28" s="5" t="n"/>
      <c r="N28" s="4" t="n"/>
    </row>
    <row r="29">
      <c r="A29" s="2" t="n">
        <v>28</v>
      </c>
      <c r="B29" s="2" t="inlineStr">
        <is>
          <t>TC028</t>
        </is>
      </c>
      <c r="C29" s="3" t="inlineStr">
        <is>
          <t>Quản lý tài khoản</t>
        </is>
      </c>
      <c r="D29" s="3" t="inlineStr">
        <is>
          <t>Chỉ định tổ trưởng cho id không tồn tại</t>
        </is>
      </c>
      <c r="E29" s="2" t="inlineStr">
        <is>
          <t>PUT</t>
        </is>
      </c>
      <c r="F29" s="3" t="inlineStr">
        <is>
          <t>/api/management/teachers/999999/head-teacher</t>
        </is>
      </c>
      <c r="G29" s="3" t="inlineStr">
        <is>
          <t>Phó hiệu trưởng</t>
        </is>
      </c>
      <c r="H29" s="3" t="inlineStr"/>
      <c r="I29" s="2" t="n">
        <v>404</v>
      </c>
      <c r="J29" s="2" t="n">
        <v>1208</v>
      </c>
      <c r="K29" s="3" t="inlineStr"/>
      <c r="L29" s="4" t="n"/>
      <c r="M29" s="5" t="n"/>
      <c r="N29" s="4" t="n"/>
    </row>
    <row r="30">
      <c r="A30" s="2" t="n">
        <v>29</v>
      </c>
      <c r="B30" s="2" t="inlineStr">
        <is>
          <t>TC029</t>
        </is>
      </c>
      <c r="C30" s="3" t="inlineStr">
        <is>
          <t>Quản lý tài khoản</t>
        </is>
      </c>
      <c r="D30" s="3" t="inlineStr">
        <is>
          <t>Bỏ chức tổ trưởng</t>
        </is>
      </c>
      <c r="E30" s="2" t="inlineStr">
        <is>
          <t>DELETE</t>
        </is>
      </c>
      <c r="F30" s="3" t="inlineStr">
        <is>
          <t>/api/management/teachers/{{teacherId}}/head-teacher</t>
        </is>
      </c>
      <c r="G30" s="3" t="inlineStr">
        <is>
          <t>Phó hiệu trưởng</t>
        </is>
      </c>
      <c r="H30" s="3" t="inlineStr"/>
      <c r="I30" s="2" t="n">
        <v>200</v>
      </c>
      <c r="J30" s="2" t="n">
        <v>0</v>
      </c>
      <c r="K30" s="3" t="inlineStr">
        <is>
          <t>Không còn HEAD_TEACHER</t>
        </is>
      </c>
      <c r="L30" s="4" t="n"/>
      <c r="M30" s="5" t="n"/>
      <c r="N30" s="4" t="n"/>
    </row>
    <row r="31">
      <c r="A31" s="2" t="n">
        <v>30</v>
      </c>
      <c r="B31" s="2" t="inlineStr">
        <is>
          <t>TC030</t>
        </is>
      </c>
      <c r="C31" s="3" t="inlineStr">
        <is>
          <t>Quản lý tài khoản</t>
        </is>
      </c>
      <c r="D31" s="3" t="inlineStr">
        <is>
          <t>Token cũ của GV bị từ chối sau khi đổi chức vụ</t>
        </is>
      </c>
      <c r="E31" s="2" t="inlineStr">
        <is>
          <t>GET</t>
        </is>
      </c>
      <c r="F31" s="3" t="inlineStr">
        <is>
          <t>/api/users/me</t>
        </is>
      </c>
      <c r="G31" s="3" t="inlineStr">
        <is>
          <t>Giáo viên</t>
        </is>
      </c>
      <c r="H31" s="3" t="inlineStr"/>
      <c r="I31" s="2" t="n">
        <v>401</v>
      </c>
      <c r="J31" s="2" t="n">
        <v>1104</v>
      </c>
      <c r="K31" s="3" t="inlineStr">
        <is>
          <t>Đổi role -&gt; đăng xuất mọi nơi, phải đăng nhập lại</t>
        </is>
      </c>
      <c r="L31" s="4" t="n"/>
      <c r="M31" s="5" t="n"/>
      <c r="N31" s="4" t="n"/>
    </row>
    <row r="32">
      <c r="A32" s="2" t="n">
        <v>31</v>
      </c>
      <c r="B32" s="2" t="inlineStr">
        <is>
          <t>TC031</t>
        </is>
      </c>
      <c r="C32" s="3" t="inlineStr">
        <is>
          <t>Quản lý tài khoản</t>
        </is>
      </c>
      <c r="D32" s="3" t="inlineStr">
        <is>
          <t>Giáo viên đăng nhập lại</t>
        </is>
      </c>
      <c r="E32" s="2" t="inlineStr">
        <is>
          <t>POST</t>
        </is>
      </c>
      <c r="F32" s="3" t="inlineStr">
        <is>
          <t>/api/auth/login</t>
        </is>
      </c>
      <c r="G32" s="3" t="inlineStr">
        <is>
          <t>Không token</t>
        </is>
      </c>
      <c r="H32" s="3" t="inlineStr">
        <is>
          <t>{"identifier": "{{teacherEmail}}", "password": "teacher123"}</t>
        </is>
      </c>
      <c r="I32" s="2" t="n">
        <v>200</v>
      </c>
      <c r="J32" s="2" t="n">
        <v>0</v>
      </c>
      <c r="K32" s="3" t="inlineStr"/>
      <c r="L32" s="4" t="n"/>
      <c r="M32" s="5" t="n"/>
      <c r="N32" s="4" t="n"/>
    </row>
    <row r="33">
      <c r="A33" s="2" t="n">
        <v>32</v>
      </c>
      <c r="B33" s="2" t="inlineStr">
        <is>
          <t>TC032</t>
        </is>
      </c>
      <c r="C33" s="3" t="inlineStr">
        <is>
          <t>Trẻ &amp; ảnh trẻ</t>
        </is>
      </c>
      <c r="D33" s="3" t="inlineStr">
        <is>
          <t>Thêm trẻ, tự tạo tài khoản phụ huynh (SĐT +84)</t>
        </is>
      </c>
      <c r="E33" s="2" t="inlineStr">
        <is>
          <t>POST</t>
        </is>
      </c>
      <c r="F33" s="3" t="inlineStr">
        <is>
          <t>/api/management/children</t>
        </is>
      </c>
      <c r="G33" s="3" t="inlineStr">
        <is>
          <t>Phó hiệu trưởng</t>
        </is>
      </c>
      <c r="H33" s="3" t="inlineStr">
        <is>
          <t>{"childName": "Bé Na", "dateOfBirth": "2022-05-01", "parentPhone": "{{parentPhoneIntl}}", "parentName": "Chị Hoa"}</t>
        </is>
      </c>
      <c r="I33" s="2" t="n">
        <v>201</v>
      </c>
      <c r="J33" s="2" t="n">
        <v>0</v>
      </c>
      <c r="K33" s="3" t="inlineStr">
        <is>
          <t>parentAccountCreated = true; SĐT chuẩn hoá về 0...</t>
        </is>
      </c>
      <c r="L33" s="4" t="n"/>
      <c r="M33" s="5" t="n"/>
      <c r="N33" s="4" t="n"/>
    </row>
    <row r="34">
      <c r="A34" s="2" t="n">
        <v>33</v>
      </c>
      <c r="B34" s="2" t="inlineStr">
        <is>
          <t>TC033</t>
        </is>
      </c>
      <c r="C34" s="3" t="inlineStr">
        <is>
          <t>Trẻ &amp; ảnh trẻ</t>
        </is>
      </c>
      <c r="D34" s="3" t="inlineStr">
        <is>
          <t>Thêm trẻ thứ 2 cùng SĐT phụ huynh</t>
        </is>
      </c>
      <c r="E34" s="2" t="inlineStr">
        <is>
          <t>POST</t>
        </is>
      </c>
      <c r="F34" s="3" t="inlineStr">
        <is>
          <t>/api/management/children</t>
        </is>
      </c>
      <c r="G34" s="3" t="inlineStr">
        <is>
          <t>Hiệu trưởng</t>
        </is>
      </c>
      <c r="H34" s="3" t="inlineStr">
        <is>
          <t>{"childName": "Bé Bin", "parentPhone": "{{parentPhone}}", "parentName": "Chị Hoa"}</t>
        </is>
      </c>
      <c r="I34" s="2" t="n">
        <v>201</v>
      </c>
      <c r="J34" s="2" t="n">
        <v>0</v>
      </c>
      <c r="K34" s="3" t="inlineStr">
        <is>
          <t>Gắn vào phụ huynh cũ</t>
        </is>
      </c>
      <c r="L34" s="4" t="n"/>
      <c r="M34" s="5" t="n"/>
      <c r="N34" s="4" t="n"/>
    </row>
    <row r="35">
      <c r="A35" s="2" t="n">
        <v>34</v>
      </c>
      <c r="B35" s="2" t="inlineStr">
        <is>
          <t>TC034</t>
        </is>
      </c>
      <c r="C35" s="3" t="inlineStr">
        <is>
          <t>Trẻ &amp; ảnh trẻ</t>
        </is>
      </c>
      <c r="D35" s="3" t="inlineStr">
        <is>
          <t>Thêm trẻ của phụ huynh khác</t>
        </is>
      </c>
      <c r="E35" s="2" t="inlineStr">
        <is>
          <t>POST</t>
        </is>
      </c>
      <c r="F35" s="3" t="inlineStr">
        <is>
          <t>/api/management/children</t>
        </is>
      </c>
      <c r="G35" s="3" t="inlineStr">
        <is>
          <t>Phó hiệu trưởng</t>
        </is>
      </c>
      <c r="H35" s="3" t="inlineStr">
        <is>
          <t>{"childName": "Bé Tí", "parentPhone": "{{otherParentPhone}}", "parentName": "Anh Tùng"}</t>
        </is>
      </c>
      <c r="I35" s="2" t="n">
        <v>201</v>
      </c>
      <c r="J35" s="2" t="n">
        <v>0</v>
      </c>
      <c r="K35" s="3" t="inlineStr"/>
      <c r="L35" s="4" t="n"/>
      <c r="M35" s="5" t="n"/>
      <c r="N35" s="4" t="n"/>
    </row>
    <row r="36">
      <c r="A36" s="2" t="n">
        <v>35</v>
      </c>
      <c r="B36" s="2" t="inlineStr">
        <is>
          <t>TC035</t>
        </is>
      </c>
      <c r="C36" s="3" t="inlineStr">
        <is>
          <t>Trẻ &amp; ảnh trẻ</t>
        </is>
      </c>
      <c r="D36" s="3" t="inlineStr">
        <is>
          <t>Thêm trẻ thiếu tên</t>
        </is>
      </c>
      <c r="E36" s="2" t="inlineStr">
        <is>
          <t>POST</t>
        </is>
      </c>
      <c r="F36" s="3" t="inlineStr">
        <is>
          <t>/api/management/children</t>
        </is>
      </c>
      <c r="G36" s="3" t="inlineStr">
        <is>
          <t>Phó hiệu trưởng</t>
        </is>
      </c>
      <c r="H36" s="3" t="inlineStr">
        <is>
          <t>{"parentPhone": "{{parentPhone}}", "parentName": "Chị Hoa"}</t>
        </is>
      </c>
      <c r="I36" s="2" t="n">
        <v>400</v>
      </c>
      <c r="J36" s="2" t="n">
        <v>1000</v>
      </c>
      <c r="K36" s="3" t="inlineStr">
        <is>
          <t>Báo lỗi childName</t>
        </is>
      </c>
      <c r="L36" s="4" t="n"/>
      <c r="M36" s="5" t="n"/>
      <c r="N36" s="4" t="n"/>
    </row>
    <row r="37">
      <c r="A37" s="2" t="n">
        <v>36</v>
      </c>
      <c r="B37" s="2" t="inlineStr">
        <is>
          <t>TC036</t>
        </is>
      </c>
      <c r="C37" s="3" t="inlineStr">
        <is>
          <t>Trẻ &amp; ảnh trẻ</t>
        </is>
      </c>
      <c r="D37" s="3" t="inlineStr">
        <is>
          <t>Thêm trẻ SĐT phụ huynh sai</t>
        </is>
      </c>
      <c r="E37" s="2" t="inlineStr">
        <is>
          <t>POST</t>
        </is>
      </c>
      <c r="F37" s="3" t="inlineStr">
        <is>
          <t>/api/management/children</t>
        </is>
      </c>
      <c r="G37" s="3" t="inlineStr">
        <is>
          <t>Phó hiệu trưởng</t>
        </is>
      </c>
      <c r="H37" s="3" t="inlineStr">
        <is>
          <t>{"childName": "Bé", "parentPhone": "12345", "parentName": "X"}</t>
        </is>
      </c>
      <c r="I37" s="2" t="n">
        <v>400</v>
      </c>
      <c r="J37" s="2" t="n">
        <v>1000</v>
      </c>
      <c r="K37" s="3" t="inlineStr">
        <is>
          <t>Báo lỗi parentPhone</t>
        </is>
      </c>
      <c r="L37" s="4" t="n"/>
      <c r="M37" s="5" t="n"/>
      <c r="N37" s="4" t="n"/>
    </row>
    <row r="38">
      <c r="A38" s="2" t="n">
        <v>37</v>
      </c>
      <c r="B38" s="2" t="inlineStr">
        <is>
          <t>TC037</t>
        </is>
      </c>
      <c r="C38" s="3" t="inlineStr">
        <is>
          <t>Trẻ &amp; ảnh trẻ</t>
        </is>
      </c>
      <c r="D38" s="3" t="inlineStr">
        <is>
          <t>Thêm trẻ ngày sinh ở tương lai</t>
        </is>
      </c>
      <c r="E38" s="2" t="inlineStr">
        <is>
          <t>POST</t>
        </is>
      </c>
      <c r="F38" s="3" t="inlineStr">
        <is>
          <t>/api/management/children</t>
        </is>
      </c>
      <c r="G38" s="3" t="inlineStr">
        <is>
          <t>Phó hiệu trưởng</t>
        </is>
      </c>
      <c r="H38" s="3" t="inlineStr">
        <is>
          <t>{"childName": "Bé", "dateOfBirth": "2999-01-01", "parentPhone": "{{parentPhone}}", "parentName": "X"}</t>
        </is>
      </c>
      <c r="I38" s="2" t="n">
        <v>400</v>
      </c>
      <c r="J38" s="2" t="n">
        <v>1000</v>
      </c>
      <c r="K38" s="3" t="inlineStr">
        <is>
          <t>Báo lỗi dateOfBirth</t>
        </is>
      </c>
      <c r="L38" s="4" t="n"/>
      <c r="M38" s="5" t="n"/>
      <c r="N38" s="4" t="n"/>
    </row>
    <row r="39">
      <c r="A39" s="2" t="n">
        <v>38</v>
      </c>
      <c r="B39" s="2" t="inlineStr">
        <is>
          <t>TC038</t>
        </is>
      </c>
      <c r="C39" s="3" t="inlineStr">
        <is>
          <t>Trẻ &amp; ảnh trẻ</t>
        </is>
      </c>
      <c r="D39" s="3" t="inlineStr">
        <is>
          <t>Giáo viên thêm trẻ (không được phép)</t>
        </is>
      </c>
      <c r="E39" s="2" t="inlineStr">
        <is>
          <t>POST</t>
        </is>
      </c>
      <c r="F39" s="3" t="inlineStr">
        <is>
          <t>/api/management/children</t>
        </is>
      </c>
      <c r="G39" s="3" t="inlineStr">
        <is>
          <t>Giáo viên</t>
        </is>
      </c>
      <c r="H39" s="3" t="inlineStr">
        <is>
          <t>{"childName": "Bé", "parentPhone": "{{parentPhone}}", "parentName": "X"}</t>
        </is>
      </c>
      <c r="I39" s="2" t="n">
        <v>403</v>
      </c>
      <c r="J39" s="2" t="n">
        <v>1103</v>
      </c>
      <c r="K39" s="3" t="inlineStr"/>
      <c r="L39" s="4" t="n"/>
      <c r="M39" s="5" t="n"/>
      <c r="N39" s="4" t="n"/>
    </row>
    <row r="40">
      <c r="A40" s="2" t="n">
        <v>39</v>
      </c>
      <c r="B40" s="2" t="inlineStr">
        <is>
          <t>TC039</t>
        </is>
      </c>
      <c r="C40" s="3" t="inlineStr">
        <is>
          <t>Trẻ &amp; ảnh trẻ</t>
        </is>
      </c>
      <c r="D40" s="3" t="inlineStr">
        <is>
          <t>Phụ huynh đăng nhập bằng SĐT, mật khẩu mặc định</t>
        </is>
      </c>
      <c r="E40" s="2" t="inlineStr">
        <is>
          <t>POST</t>
        </is>
      </c>
      <c r="F40" s="3" t="inlineStr">
        <is>
          <t>/api/auth/login</t>
        </is>
      </c>
      <c r="G40" s="3" t="inlineStr">
        <is>
          <t>Không token</t>
        </is>
      </c>
      <c r="H40" s="3" t="inlineStr">
        <is>
          <t>{"identifier": "{{parentPhone}}", "password": "{{parentPhone}}"}</t>
        </is>
      </c>
      <c r="I40" s="2" t="n">
        <v>200</v>
      </c>
      <c r="J40" s="2" t="n">
        <v>0</v>
      </c>
      <c r="K40" s="3" t="inlineStr">
        <is>
          <t>Bắt đổi mật khẩu</t>
        </is>
      </c>
      <c r="L40" s="4" t="n"/>
      <c r="M40" s="5" t="n"/>
      <c r="N40" s="4" t="n"/>
    </row>
    <row r="41">
      <c r="A41" s="2" t="n">
        <v>40</v>
      </c>
      <c r="B41" s="2" t="inlineStr">
        <is>
          <t>TC040</t>
        </is>
      </c>
      <c r="C41" s="3" t="inlineStr">
        <is>
          <t>Trẻ &amp; ảnh trẻ</t>
        </is>
      </c>
      <c r="D41" s="3" t="inlineStr">
        <is>
          <t>Phụ huynh gọi API giáo viên (không được phép)</t>
        </is>
      </c>
      <c r="E41" s="2" t="inlineStr">
        <is>
          <t>GET</t>
        </is>
      </c>
      <c r="F41" s="3" t="inlineStr">
        <is>
          <t>/api/teacher/children/{{childId}}/pickup-persons</t>
        </is>
      </c>
      <c r="G41" s="3" t="inlineStr">
        <is>
          <t>Phụ huynh</t>
        </is>
      </c>
      <c r="H41" s="3" t="inlineStr"/>
      <c r="I41" s="2" t="n">
        <v>403</v>
      </c>
      <c r="J41" s="2" t="n">
        <v>1103</v>
      </c>
      <c r="K41" s="3" t="inlineStr"/>
      <c r="L41" s="4" t="n"/>
      <c r="M41" s="5" t="n"/>
      <c r="N41" s="4" t="n"/>
    </row>
    <row r="42">
      <c r="A42" s="2" t="n">
        <v>41</v>
      </c>
      <c r="B42" s="2" t="inlineStr">
        <is>
          <t>TC041</t>
        </is>
      </c>
      <c r="C42" s="3" t="inlineStr">
        <is>
          <t>Trẻ &amp; ảnh trẻ</t>
        </is>
      </c>
      <c r="D42" s="3" t="inlineStr">
        <is>
          <t>Phụ huynh xem danh sách con</t>
        </is>
      </c>
      <c r="E42" s="2" t="inlineStr">
        <is>
          <t>GET</t>
        </is>
      </c>
      <c r="F42" s="3" t="inlineStr">
        <is>
          <t>/api/parent/children</t>
        </is>
      </c>
      <c r="G42" s="3" t="inlineStr">
        <is>
          <t>Phụ huynh</t>
        </is>
      </c>
      <c r="H42" s="3" t="inlineStr"/>
      <c r="I42" s="2" t="n">
        <v>200</v>
      </c>
      <c r="J42" s="2" t="n">
        <v>0</v>
      </c>
      <c r="K42" s="3" t="inlineStr">
        <is>
          <t>Có 2 trẻ</t>
        </is>
      </c>
      <c r="L42" s="4" t="n"/>
      <c r="M42" s="5" t="n"/>
      <c r="N42" s="4" t="n"/>
    </row>
    <row r="43">
      <c r="A43" s="2" t="n">
        <v>42</v>
      </c>
      <c r="B43" s="2" t="inlineStr">
        <is>
          <t>TC042</t>
        </is>
      </c>
      <c r="C43" s="3" t="inlineStr">
        <is>
          <t>Mật khẩu</t>
        </is>
      </c>
      <c r="D43" s="3" t="inlineStr">
        <is>
          <t>Đổi mật khẩu sai mật khẩu cũ</t>
        </is>
      </c>
      <c r="E43" s="2" t="inlineStr">
        <is>
          <t>POST</t>
        </is>
      </c>
      <c r="F43" s="3" t="inlineStr">
        <is>
          <t>/api/auth/change-password</t>
        </is>
      </c>
      <c r="G43" s="3" t="inlineStr">
        <is>
          <t>Phụ huynh</t>
        </is>
      </c>
      <c r="H43" s="3" t="inlineStr">
        <is>
          <t>{"oldPassword": "sai12345", "newPassword": "parent123", "confirmPassword": "parent123"}</t>
        </is>
      </c>
      <c r="I43" s="2" t="n">
        <v>400</v>
      </c>
      <c r="J43" s="2" t="n">
        <v>1204</v>
      </c>
      <c r="K43" s="3" t="inlineStr"/>
      <c r="L43" s="4" t="n"/>
      <c r="M43" s="5" t="n"/>
      <c r="N43" s="4" t="n"/>
    </row>
    <row r="44">
      <c r="A44" s="2" t="n">
        <v>43</v>
      </c>
      <c r="B44" s="2" t="inlineStr">
        <is>
          <t>TC043</t>
        </is>
      </c>
      <c r="C44" s="3" t="inlineStr">
        <is>
          <t>Mật khẩu</t>
        </is>
      </c>
      <c r="D44" s="3" t="inlineStr">
        <is>
          <t>Đổi mật khẩu xác nhận không khớp</t>
        </is>
      </c>
      <c r="E44" s="2" t="inlineStr">
        <is>
          <t>POST</t>
        </is>
      </c>
      <c r="F44" s="3" t="inlineStr">
        <is>
          <t>/api/auth/change-password</t>
        </is>
      </c>
      <c r="G44" s="3" t="inlineStr">
        <is>
          <t>Phụ huynh</t>
        </is>
      </c>
      <c r="H44" s="3" t="inlineStr">
        <is>
          <t>{"oldPassword": "{{parentPhone}}", "newPassword": "parent123", "confirmPassword": "khac1234"}</t>
        </is>
      </c>
      <c r="I44" s="2" t="n">
        <v>400</v>
      </c>
      <c r="J44" s="2" t="n">
        <v>1202</v>
      </c>
      <c r="K44" s="3" t="inlineStr"/>
      <c r="L44" s="4" t="n"/>
      <c r="M44" s="5" t="n"/>
      <c r="N44" s="4" t="n"/>
    </row>
    <row r="45">
      <c r="A45" s="2" t="n">
        <v>44</v>
      </c>
      <c r="B45" s="2" t="inlineStr">
        <is>
          <t>TC044</t>
        </is>
      </c>
      <c r="C45" s="3" t="inlineStr">
        <is>
          <t>Mật khẩu</t>
        </is>
      </c>
      <c r="D45" s="3" t="inlineStr">
        <is>
          <t>Đổi mật khẩu mới chỉ có số</t>
        </is>
      </c>
      <c r="E45" s="2" t="inlineStr">
        <is>
          <t>POST</t>
        </is>
      </c>
      <c r="F45" s="3" t="inlineStr">
        <is>
          <t>/api/auth/change-password</t>
        </is>
      </c>
      <c r="G45" s="3" t="inlineStr">
        <is>
          <t>Phụ huynh</t>
        </is>
      </c>
      <c r="H45" s="3" t="inlineStr">
        <is>
          <t>{"oldPassword": "{{parentPhone}}", "newPassword": "12345678", "confirmPassword": "12345678"}</t>
        </is>
      </c>
      <c r="I45" s="2" t="n">
        <v>400</v>
      </c>
      <c r="J45" s="2" t="n">
        <v>1000</v>
      </c>
      <c r="K45" s="3" t="inlineStr">
        <is>
          <t>Báo lỗi newPassword; Mật khẩu phải 8-100 ký tự, gồm cả chữ và số</t>
        </is>
      </c>
      <c r="L45" s="4" t="n"/>
      <c r="M45" s="5" t="n"/>
      <c r="N45" s="4" t="n"/>
    </row>
    <row r="46">
      <c r="A46" s="2" t="n">
        <v>45</v>
      </c>
      <c r="B46" s="2" t="inlineStr">
        <is>
          <t>TC045</t>
        </is>
      </c>
      <c r="C46" s="3" t="inlineStr">
        <is>
          <t>Mật khẩu</t>
        </is>
      </c>
      <c r="D46" s="3" t="inlineStr">
        <is>
          <t>Đổi mật khẩu thành công</t>
        </is>
      </c>
      <c r="E46" s="2" t="inlineStr">
        <is>
          <t>POST</t>
        </is>
      </c>
      <c r="F46" s="3" t="inlineStr">
        <is>
          <t>/api/auth/change-password</t>
        </is>
      </c>
      <c r="G46" s="3" t="inlineStr">
        <is>
          <t>Phụ huynh</t>
        </is>
      </c>
      <c r="H46" s="3" t="inlineStr">
        <is>
          <t>{"oldPassword": "{{parentPhone}}", "newPassword": "parent123", "confirmPassword": "parent123"}</t>
        </is>
      </c>
      <c r="I46" s="2" t="n">
        <v>200</v>
      </c>
      <c r="J46" s="2" t="n">
        <v>0</v>
      </c>
      <c r="K46" s="3" t="inlineStr"/>
      <c r="L46" s="4" t="n"/>
      <c r="M46" s="5" t="n"/>
      <c r="N46" s="4" t="n"/>
    </row>
    <row r="47">
      <c r="A47" s="2" t="n">
        <v>46</v>
      </c>
      <c r="B47" s="2" t="inlineStr">
        <is>
          <t>TC046</t>
        </is>
      </c>
      <c r="C47" s="3" t="inlineStr">
        <is>
          <t>Mật khẩu</t>
        </is>
      </c>
      <c r="D47" s="3" t="inlineStr">
        <is>
          <t>Đăng nhập bằng mật khẩu cũ sau khi đổi</t>
        </is>
      </c>
      <c r="E47" s="2" t="inlineStr">
        <is>
          <t>POST</t>
        </is>
      </c>
      <c r="F47" s="3" t="inlineStr">
        <is>
          <t>/api/auth/login</t>
        </is>
      </c>
      <c r="G47" s="3" t="inlineStr">
        <is>
          <t>Không token</t>
        </is>
      </c>
      <c r="H47" s="3" t="inlineStr">
        <is>
          <t>{"identifier": "{{parentPhone}}", "password": "{{parentPhone}}"}</t>
        </is>
      </c>
      <c r="I47" s="2" t="n">
        <v>401</v>
      </c>
      <c r="J47" s="2" t="n">
        <v>1101</v>
      </c>
      <c r="K47" s="3" t="inlineStr"/>
      <c r="L47" s="4" t="n"/>
      <c r="M47" s="5" t="n"/>
      <c r="N47" s="4" t="n"/>
    </row>
    <row r="48">
      <c r="A48" s="2" t="n">
        <v>47</v>
      </c>
      <c r="B48" s="2" t="inlineStr">
        <is>
          <t>TC047</t>
        </is>
      </c>
      <c r="C48" s="3" t="inlineStr">
        <is>
          <t>Mật khẩu</t>
        </is>
      </c>
      <c r="D48" s="3" t="inlineStr">
        <is>
          <t>Đăng nhập bằng mật khẩu mới</t>
        </is>
      </c>
      <c r="E48" s="2" t="inlineStr">
        <is>
          <t>POST</t>
        </is>
      </c>
      <c r="F48" s="3" t="inlineStr">
        <is>
          <t>/api/auth/login</t>
        </is>
      </c>
      <c r="G48" s="3" t="inlineStr">
        <is>
          <t>Không token</t>
        </is>
      </c>
      <c r="H48" s="3" t="inlineStr">
        <is>
          <t>{"identifier": "{{parentPhone}}", "password": "parent123"}</t>
        </is>
      </c>
      <c r="I48" s="2" t="n">
        <v>200</v>
      </c>
      <c r="J48" s="2" t="n">
        <v>0</v>
      </c>
      <c r="K48" s="3" t="inlineStr">
        <is>
          <t>Không còn bắt đổi mật khẩu</t>
        </is>
      </c>
      <c r="L48" s="4" t="n"/>
      <c r="M48" s="5" t="n"/>
      <c r="N48" s="4" t="n"/>
    </row>
    <row r="49">
      <c r="A49" s="2" t="n">
        <v>48</v>
      </c>
      <c r="B49" s="2" t="inlineStr">
        <is>
          <t>TC048</t>
        </is>
      </c>
      <c r="C49" s="3" t="inlineStr">
        <is>
          <t>Mật khẩu</t>
        </is>
      </c>
      <c r="D49" s="3" t="inlineStr">
        <is>
          <t>Đổi mật khẩu mới trùng mật khẩu cũ</t>
        </is>
      </c>
      <c r="E49" s="2" t="inlineStr">
        <is>
          <t>POST</t>
        </is>
      </c>
      <c r="F49" s="3" t="inlineStr">
        <is>
          <t>/api/auth/change-password</t>
        </is>
      </c>
      <c r="G49" s="3" t="inlineStr">
        <is>
          <t>Phụ huynh</t>
        </is>
      </c>
      <c r="H49" s="3" t="inlineStr">
        <is>
          <t>{"oldPassword": "parent123", "newPassword": "parent123", "confirmPassword": "parent123"}</t>
        </is>
      </c>
      <c r="I49" s="2" t="n">
        <v>400</v>
      </c>
      <c r="J49" s="2" t="n">
        <v>1205</v>
      </c>
      <c r="K49" s="3" t="inlineStr"/>
      <c r="L49" s="4" t="n"/>
      <c r="M49" s="5" t="n"/>
      <c r="N49" s="4" t="n"/>
    </row>
    <row r="50">
      <c r="A50" s="2" t="n">
        <v>49</v>
      </c>
      <c r="B50" s="2" t="inlineStr">
        <is>
          <t>TC049</t>
        </is>
      </c>
      <c r="C50" s="3" t="inlineStr">
        <is>
          <t>Mật khẩu</t>
        </is>
      </c>
      <c r="D50" s="3" t="inlineStr">
        <is>
          <t>Giáo viên reset mật khẩu phụ huynh không quản lý</t>
        </is>
      </c>
      <c r="E50" s="2" t="inlineStr">
        <is>
          <t>POST</t>
        </is>
      </c>
      <c r="F50" s="3" t="inlineStr">
        <is>
          <t>/api/teacher/parents/{{parentId}}/reset-password</t>
        </is>
      </c>
      <c r="G50" s="3" t="inlineStr">
        <is>
          <t>Giáo viên</t>
        </is>
      </c>
      <c r="H50" s="3" t="inlineStr"/>
      <c r="I50" s="2" t="n">
        <v>403</v>
      </c>
      <c r="J50" s="2" t="n">
        <v>1206</v>
      </c>
      <c r="K50" s="3" t="inlineStr">
        <is>
          <t>Trẻ do BGH thêm nên GV không quản lý (chờ entity Lớp)</t>
        </is>
      </c>
      <c r="L50" s="4" t="n"/>
      <c r="M50" s="5" t="n"/>
      <c r="N50" s="4" t="n"/>
    </row>
    <row r="51">
      <c r="A51" s="2" t="n">
        <v>50</v>
      </c>
      <c r="B51" s="2" t="inlineStr">
        <is>
          <t>TC050</t>
        </is>
      </c>
      <c r="C51" s="3" t="inlineStr">
        <is>
          <t>Mật khẩu</t>
        </is>
      </c>
      <c r="D51" s="3" t="inlineStr">
        <is>
          <t>BGH reset mật khẩu phụ huynh về SĐT</t>
        </is>
      </c>
      <c r="E51" s="2" t="inlineStr">
        <is>
          <t>POST</t>
        </is>
      </c>
      <c r="F51" s="3" t="inlineStr">
        <is>
          <t>/api/management/parents/{{parentId}}/reset-password</t>
        </is>
      </c>
      <c r="G51" s="3" t="inlineStr">
        <is>
          <t>Phó hiệu trưởng</t>
        </is>
      </c>
      <c r="H51" s="3" t="inlineStr"/>
      <c r="I51" s="2" t="n">
        <v>200</v>
      </c>
      <c r="J51" s="2" t="n">
        <v>0</v>
      </c>
      <c r="K51" s="3" t="inlineStr"/>
      <c r="L51" s="4" t="n"/>
      <c r="M51" s="5" t="n"/>
      <c r="N51" s="4" t="n"/>
    </row>
    <row r="52">
      <c r="A52" s="2" t="n">
        <v>51</v>
      </c>
      <c r="B52" s="2" t="inlineStr">
        <is>
          <t>TC051</t>
        </is>
      </c>
      <c r="C52" s="3" t="inlineStr">
        <is>
          <t>Mật khẩu</t>
        </is>
      </c>
      <c r="D52" s="3" t="inlineStr">
        <is>
          <t>Phụ huynh đăng nhập lại bằng mật khẩu mặc định</t>
        </is>
      </c>
      <c r="E52" s="2" t="inlineStr">
        <is>
          <t>POST</t>
        </is>
      </c>
      <c r="F52" s="3" t="inlineStr">
        <is>
          <t>/api/auth/login</t>
        </is>
      </c>
      <c r="G52" s="3" t="inlineStr">
        <is>
          <t>Không token</t>
        </is>
      </c>
      <c r="H52" s="3" t="inlineStr">
        <is>
          <t>{"identifier": "{{parentPhone}}", "password": "{{parentPhone}}"}</t>
        </is>
      </c>
      <c r="I52" s="2" t="n">
        <v>200</v>
      </c>
      <c r="J52" s="2" t="n">
        <v>0</v>
      </c>
      <c r="K52" s="3" t="inlineStr">
        <is>
          <t>Bắt đổi mật khẩu lại</t>
        </is>
      </c>
      <c r="L52" s="4" t="n"/>
      <c r="M52" s="5" t="n"/>
      <c r="N52" s="4" t="n"/>
    </row>
    <row r="53">
      <c r="A53" s="2" t="n">
        <v>52</v>
      </c>
      <c r="B53" s="2" t="inlineStr">
        <is>
          <t>TC052</t>
        </is>
      </c>
      <c r="C53" s="3" t="inlineStr">
        <is>
          <t>Mật khẩu</t>
        </is>
      </c>
      <c r="D53" s="3" t="inlineStr">
        <is>
          <t>Reset mật khẩu cho tài khoản không phải phụ huynh</t>
        </is>
      </c>
      <c r="E53" s="2" t="inlineStr">
        <is>
          <t>POST</t>
        </is>
      </c>
      <c r="F53" s="3" t="inlineStr">
        <is>
          <t>/api/management/parents/{{teacherId}}/reset-password</t>
        </is>
      </c>
      <c r="G53" s="3" t="inlineStr">
        <is>
          <t>Phó hiệu trưởng</t>
        </is>
      </c>
      <c r="H53" s="3" t="inlineStr"/>
      <c r="I53" s="2" t="n">
        <v>404</v>
      </c>
      <c r="J53" s="2" t="n">
        <v>1203</v>
      </c>
      <c r="K53" s="3" t="inlineStr"/>
      <c r="L53" s="4" t="n"/>
      <c r="M53" s="5" t="n"/>
      <c r="N53" s="4" t="n"/>
    </row>
    <row r="54">
      <c r="A54" s="2" t="n">
        <v>53</v>
      </c>
      <c r="B54" s="2" t="inlineStr">
        <is>
          <t>TC053</t>
        </is>
      </c>
      <c r="C54" s="3" t="inlineStr">
        <is>
          <t>Mật khẩu</t>
        </is>
      </c>
      <c r="D54" s="3" t="inlineStr">
        <is>
          <t>Quên mật khẩu bằng SĐT (chưa hỗ trợ SMS)</t>
        </is>
      </c>
      <c r="E54" s="2" t="inlineStr">
        <is>
          <t>POST</t>
        </is>
      </c>
      <c r="F54" s="3" t="inlineStr">
        <is>
          <t>/api/auth/forgot-password</t>
        </is>
      </c>
      <c r="G54" s="3" t="inlineStr">
        <is>
          <t>Không token</t>
        </is>
      </c>
      <c r="H54" s="3" t="inlineStr">
        <is>
          <t>{"identifier": "{{parentPhone}}"}</t>
        </is>
      </c>
      <c r="I54" s="2" t="n">
        <v>501</v>
      </c>
      <c r="J54" s="2" t="n">
        <v>1304</v>
      </c>
      <c r="K54" s="3" t="inlineStr"/>
      <c r="L54" s="4" t="n"/>
      <c r="M54" s="5" t="n"/>
      <c r="N54" s="4" t="n"/>
    </row>
    <row r="55">
      <c r="A55" s="2" t="n">
        <v>54</v>
      </c>
      <c r="B55" s="2" t="inlineStr">
        <is>
          <t>TC054</t>
        </is>
      </c>
      <c r="C55" s="3" t="inlineStr">
        <is>
          <t>Ảnh của tôi</t>
        </is>
      </c>
      <c r="D55" s="3" t="inlineStr">
        <is>
          <t>Đổi ảnh đại diện</t>
        </is>
      </c>
      <c r="E55" s="2" t="inlineStr">
        <is>
          <t>PUT</t>
        </is>
      </c>
      <c r="F55" s="3" t="inlineStr">
        <is>
          <t>/api/users/me/avatar</t>
        </is>
      </c>
      <c r="G55" s="3" t="inlineStr">
        <is>
          <t>Giáo viên</t>
        </is>
      </c>
      <c r="H55" s="3" t="inlineStr">
        <is>
          <t>multipart: file=sample.png (file)</t>
        </is>
      </c>
      <c r="I55" s="2" t="n">
        <v>200</v>
      </c>
      <c r="J55" s="2" t="n">
        <v>0</v>
      </c>
      <c r="K55" s="3" t="inlineStr">
        <is>
          <t>Có avatarUrl</t>
        </is>
      </c>
      <c r="L55" s="4" t="n"/>
      <c r="M55" s="5" t="n"/>
      <c r="N55" s="4" t="n"/>
    </row>
    <row r="56">
      <c r="A56" s="2" t="n">
        <v>55</v>
      </c>
      <c r="B56" s="2" t="inlineStr">
        <is>
          <t>TC055</t>
        </is>
      </c>
      <c r="C56" s="3" t="inlineStr">
        <is>
          <t>Ảnh của tôi</t>
        </is>
      </c>
      <c r="D56" s="3" t="inlineStr">
        <is>
          <t>Upload file không phải ảnh</t>
        </is>
      </c>
      <c r="E56" s="2" t="inlineStr">
        <is>
          <t>PUT</t>
        </is>
      </c>
      <c r="F56" s="3" t="inlineStr">
        <is>
          <t>/api/users/me/avatar</t>
        </is>
      </c>
      <c r="G56" s="3" t="inlineStr">
        <is>
          <t>Giáo viên</t>
        </is>
      </c>
      <c r="H56" s="3" t="inlineStr">
        <is>
          <t>multipart: file=not-image.png (file)</t>
        </is>
      </c>
      <c r="I56" s="2" t="n">
        <v>400</v>
      </c>
      <c r="J56" s="2" t="n">
        <v>1400</v>
      </c>
      <c r="K56" s="3" t="inlineStr">
        <is>
          <t>Server kiểm tra nội dung file, không tin đuôi .png</t>
        </is>
      </c>
      <c r="L56" s="4" t="n"/>
      <c r="M56" s="5" t="n"/>
      <c r="N56" s="4" t="n"/>
    </row>
    <row r="57">
      <c r="A57" s="2" t="n">
        <v>56</v>
      </c>
      <c r="B57" s="2" t="inlineStr">
        <is>
          <t>TC056</t>
        </is>
      </c>
      <c r="C57" s="3" t="inlineStr">
        <is>
          <t>Ảnh của tôi</t>
        </is>
      </c>
      <c r="D57" s="3" t="inlineStr">
        <is>
          <t>Upload thiếu file</t>
        </is>
      </c>
      <c r="E57" s="2" t="inlineStr">
        <is>
          <t>POST</t>
        </is>
      </c>
      <c r="F57" s="3" t="inlineStr">
        <is>
          <t>/api/users/me/images</t>
        </is>
      </c>
      <c r="G57" s="3" t="inlineStr">
        <is>
          <t>Giáo viên</t>
        </is>
      </c>
      <c r="H57" s="3" t="inlineStr">
        <is>
          <t>multipart: title=Không có file</t>
        </is>
      </c>
      <c r="I57" s="2" t="n">
        <v>400</v>
      </c>
      <c r="J57" s="2" t="n">
        <v>1000</v>
      </c>
      <c r="K57" s="3" t="inlineStr"/>
      <c r="L57" s="4" t="n"/>
      <c r="M57" s="5" t="n"/>
      <c r="N57" s="4" t="n"/>
    </row>
    <row r="58">
      <c r="A58" s="2" t="n">
        <v>57</v>
      </c>
      <c r="B58" s="2" t="inlineStr">
        <is>
          <t>TC057</t>
        </is>
      </c>
      <c r="C58" s="3" t="inlineStr">
        <is>
          <t>Ảnh của tôi</t>
        </is>
      </c>
      <c r="D58" s="3" t="inlineStr">
        <is>
          <t>Thêm ảnh có tiêu đề</t>
        </is>
      </c>
      <c r="E58" s="2" t="inlineStr">
        <is>
          <t>POST</t>
        </is>
      </c>
      <c r="F58" s="3" t="inlineStr">
        <is>
          <t>/api/users/me/images</t>
        </is>
      </c>
      <c r="G58" s="3" t="inlineStr">
        <is>
          <t>Giáo viên</t>
        </is>
      </c>
      <c r="H58" s="3" t="inlineStr">
        <is>
          <t>multipart: file=sample.png (file), title=Chứng chỉ</t>
        </is>
      </c>
      <c r="I58" s="2" t="n">
        <v>201</v>
      </c>
      <c r="J58" s="2" t="n">
        <v>0</v>
      </c>
      <c r="K58" s="3" t="inlineStr">
        <is>
          <t>title đúng; Có url</t>
        </is>
      </c>
      <c r="L58" s="4" t="n"/>
      <c r="M58" s="5" t="n"/>
      <c r="N58" s="4" t="n"/>
    </row>
    <row r="59">
      <c r="A59" s="2" t="n">
        <v>58</v>
      </c>
      <c r="B59" s="2" t="inlineStr">
        <is>
          <t>TC058</t>
        </is>
      </c>
      <c r="C59" s="3" t="inlineStr">
        <is>
          <t>Ảnh của tôi</t>
        </is>
      </c>
      <c r="D59" s="3" t="inlineStr">
        <is>
          <t>Xem danh sách ảnh của tôi</t>
        </is>
      </c>
      <c r="E59" s="2" t="inlineStr">
        <is>
          <t>GET</t>
        </is>
      </c>
      <c r="F59" s="3" t="inlineStr">
        <is>
          <t>/api/users/me/images</t>
        </is>
      </c>
      <c r="G59" s="3" t="inlineStr">
        <is>
          <t>Giáo viên</t>
        </is>
      </c>
      <c r="H59" s="3" t="inlineStr"/>
      <c r="I59" s="2" t="n">
        <v>200</v>
      </c>
      <c r="J59" s="2" t="n">
        <v>0</v>
      </c>
      <c r="K59" s="3" t="inlineStr">
        <is>
          <t>Có 1 ảnh</t>
        </is>
      </c>
      <c r="L59" s="4" t="n"/>
      <c r="M59" s="5" t="n"/>
      <c r="N59" s="4" t="n"/>
    </row>
    <row r="60">
      <c r="A60" s="2" t="n">
        <v>59</v>
      </c>
      <c r="B60" s="2" t="inlineStr">
        <is>
          <t>TC059</t>
        </is>
      </c>
      <c r="C60" s="3" t="inlineStr">
        <is>
          <t>Ảnh của tôi</t>
        </is>
      </c>
      <c r="D60" s="3" t="inlineStr">
        <is>
          <t>BGH xem ảnh của giáo viên</t>
        </is>
      </c>
      <c r="E60" s="2" t="inlineStr">
        <is>
          <t>GET</t>
        </is>
      </c>
      <c r="F60" s="3" t="inlineStr">
        <is>
          <t>/api/management/users/{{teacherId}}/images</t>
        </is>
      </c>
      <c r="G60" s="3" t="inlineStr">
        <is>
          <t>Hiệu trưởng</t>
        </is>
      </c>
      <c r="H60" s="3" t="inlineStr"/>
      <c r="I60" s="2" t="n">
        <v>200</v>
      </c>
      <c r="J60" s="2" t="n">
        <v>0</v>
      </c>
      <c r="K60" s="3" t="inlineStr">
        <is>
          <t>Có 1 ảnh</t>
        </is>
      </c>
      <c r="L60" s="4" t="n"/>
      <c r="M60" s="5" t="n"/>
      <c r="N60" s="4" t="n"/>
    </row>
    <row r="61">
      <c r="A61" s="2" t="n">
        <v>60</v>
      </c>
      <c r="B61" s="2" t="inlineStr">
        <is>
          <t>TC060</t>
        </is>
      </c>
      <c r="C61" s="3" t="inlineStr">
        <is>
          <t>Ảnh của tôi</t>
        </is>
      </c>
      <c r="D61" s="3" t="inlineStr">
        <is>
          <t>Giáo viên xem ảnh người khác qua API quản lý</t>
        </is>
      </c>
      <c r="E61" s="2" t="inlineStr">
        <is>
          <t>GET</t>
        </is>
      </c>
      <c r="F61" s="3" t="inlineStr">
        <is>
          <t>/api/management/users/{{viceId}}/images</t>
        </is>
      </c>
      <c r="G61" s="3" t="inlineStr">
        <is>
          <t>Giáo viên</t>
        </is>
      </c>
      <c r="H61" s="3" t="inlineStr"/>
      <c r="I61" s="2" t="n">
        <v>403</v>
      </c>
      <c r="J61" s="2" t="n">
        <v>1103</v>
      </c>
      <c r="K61" s="3" t="inlineStr"/>
      <c r="L61" s="4" t="n"/>
      <c r="M61" s="5" t="n"/>
      <c r="N61" s="4" t="n"/>
    </row>
    <row r="62">
      <c r="A62" s="2" t="n">
        <v>61</v>
      </c>
      <c r="B62" s="2" t="inlineStr">
        <is>
          <t>TC061</t>
        </is>
      </c>
      <c r="C62" s="3" t="inlineStr">
        <is>
          <t>Ảnh của tôi</t>
        </is>
      </c>
      <c r="D62" s="3" t="inlineStr">
        <is>
          <t>Xoá ảnh của người khác</t>
        </is>
      </c>
      <c r="E62" s="2" t="inlineStr">
        <is>
          <t>DELETE</t>
        </is>
      </c>
      <c r="F62" s="3" t="inlineStr">
        <is>
          <t>/api/users/me/images/{{imageId}}</t>
        </is>
      </c>
      <c r="G62" s="3" t="inlineStr">
        <is>
          <t>Hiệu trưởng</t>
        </is>
      </c>
      <c r="H62" s="3" t="inlineStr"/>
      <c r="I62" s="2" t="n">
        <v>404</v>
      </c>
      <c r="J62" s="2" t="n">
        <v>1403</v>
      </c>
      <c r="K62" s="3" t="inlineStr"/>
      <c r="L62" s="4" t="n"/>
      <c r="M62" s="5" t="n"/>
      <c r="N62" s="4" t="n"/>
    </row>
    <row r="63">
      <c r="A63" s="2" t="n">
        <v>62</v>
      </c>
      <c r="B63" s="2" t="inlineStr">
        <is>
          <t>TC062</t>
        </is>
      </c>
      <c r="C63" s="3" t="inlineStr">
        <is>
          <t>Ảnh của tôi</t>
        </is>
      </c>
      <c r="D63" s="3" t="inlineStr">
        <is>
          <t>Xoá ảnh của mình</t>
        </is>
      </c>
      <c r="E63" s="2" t="inlineStr">
        <is>
          <t>DELETE</t>
        </is>
      </c>
      <c r="F63" s="3" t="inlineStr">
        <is>
          <t>/api/users/me/images/{{imageId}}</t>
        </is>
      </c>
      <c r="G63" s="3" t="inlineStr">
        <is>
          <t>Giáo viên</t>
        </is>
      </c>
      <c r="H63" s="3" t="inlineStr"/>
      <c r="I63" s="2" t="n">
        <v>200</v>
      </c>
      <c r="J63" s="2" t="n">
        <v>0</v>
      </c>
      <c r="K63" s="3" t="inlineStr"/>
      <c r="L63" s="4" t="n"/>
      <c r="M63" s="5" t="n"/>
      <c r="N63" s="4" t="n"/>
    </row>
    <row r="64">
      <c r="A64" s="2" t="n">
        <v>63</v>
      </c>
      <c r="B64" s="2" t="inlineStr">
        <is>
          <t>TC063</t>
        </is>
      </c>
      <c r="C64" s="3" t="inlineStr">
        <is>
          <t>Ảnh của tôi</t>
        </is>
      </c>
      <c r="D64" s="3" t="inlineStr">
        <is>
          <t>Xem tài khoản sau khi đổi avatar</t>
        </is>
      </c>
      <c r="E64" s="2" t="inlineStr">
        <is>
          <t>GET</t>
        </is>
      </c>
      <c r="F64" s="3" t="inlineStr">
        <is>
          <t>/api/users/me</t>
        </is>
      </c>
      <c r="G64" s="3" t="inlineStr">
        <is>
          <t>Giáo viên</t>
        </is>
      </c>
      <c r="H64" s="3" t="inlineStr"/>
      <c r="I64" s="2" t="n">
        <v>200</v>
      </c>
      <c r="J64" s="2" t="n">
        <v>0</v>
      </c>
      <c r="K64" s="3" t="inlineStr">
        <is>
          <t>Có avatarUrl</t>
        </is>
      </c>
      <c r="L64" s="4" t="n"/>
      <c r="M64" s="5" t="n"/>
      <c r="N64" s="4" t="n"/>
    </row>
    <row r="65">
      <c r="A65" s="2" t="n">
        <v>64</v>
      </c>
      <c r="B65" s="2" t="inlineStr">
        <is>
          <t>TC064</t>
        </is>
      </c>
      <c r="C65" s="3" t="inlineStr">
        <is>
          <t>Trẻ &amp; ảnh trẻ</t>
        </is>
      </c>
      <c r="D65" s="3" t="inlineStr">
        <is>
          <t>Phụ huynh đổi ảnh con</t>
        </is>
      </c>
      <c r="E65" s="2" t="inlineStr">
        <is>
          <t>PUT</t>
        </is>
      </c>
      <c r="F65" s="3" t="inlineStr">
        <is>
          <t>/api/parent/children/{{childId}}/photo</t>
        </is>
      </c>
      <c r="G65" s="3" t="inlineStr">
        <is>
          <t>Phụ huynh</t>
        </is>
      </c>
      <c r="H65" s="3" t="inlineStr">
        <is>
          <t>multipart: file=sample.png (file)</t>
        </is>
      </c>
      <c r="I65" s="2" t="n">
        <v>200</v>
      </c>
      <c r="J65" s="2" t="n">
        <v>0</v>
      </c>
      <c r="K65" s="3" t="inlineStr">
        <is>
          <t>Có photoUrl</t>
        </is>
      </c>
      <c r="L65" s="4" t="n"/>
      <c r="M65" s="5" t="n"/>
      <c r="N65" s="4" t="n"/>
    </row>
    <row r="66">
      <c r="A66" s="2" t="n">
        <v>65</v>
      </c>
      <c r="B66" s="2" t="inlineStr">
        <is>
          <t>TC065</t>
        </is>
      </c>
      <c r="C66" s="3" t="inlineStr">
        <is>
          <t>Trẻ &amp; ảnh trẻ</t>
        </is>
      </c>
      <c r="D66" s="3" t="inlineStr">
        <is>
          <t>Phụ huynh đổi ảnh trẻ không phải con mình</t>
        </is>
      </c>
      <c r="E66" s="2" t="inlineStr">
        <is>
          <t>PUT</t>
        </is>
      </c>
      <c r="F66" s="3" t="inlineStr">
        <is>
          <t>/api/parent/children/{{otherChildId}}/photo</t>
        </is>
      </c>
      <c r="G66" s="3" t="inlineStr">
        <is>
          <t>Phụ huynh</t>
        </is>
      </c>
      <c r="H66" s="3" t="inlineStr">
        <is>
          <t>multipart: file=sample.png (file)</t>
        </is>
      </c>
      <c r="I66" s="2" t="n">
        <v>404</v>
      </c>
      <c r="J66" s="2" t="n">
        <v>1500</v>
      </c>
      <c r="K66" s="3" t="inlineStr"/>
      <c r="L66" s="4" t="n"/>
      <c r="M66" s="5" t="n"/>
      <c r="N66" s="4" t="n"/>
    </row>
    <row r="67">
      <c r="A67" s="2" t="n">
        <v>66</v>
      </c>
      <c r="B67" s="2" t="inlineStr">
        <is>
          <t>TC066</t>
        </is>
      </c>
      <c r="C67" s="3" t="inlineStr">
        <is>
          <t>Trẻ &amp; ảnh trẻ</t>
        </is>
      </c>
      <c r="D67" s="3" t="inlineStr">
        <is>
          <t>BGH đổi ảnh trẻ</t>
        </is>
      </c>
      <c r="E67" s="2" t="inlineStr">
        <is>
          <t>PUT</t>
        </is>
      </c>
      <c r="F67" s="3" t="inlineStr">
        <is>
          <t>/api/management/children/{{child2Id}}/photo</t>
        </is>
      </c>
      <c r="G67" s="3" t="inlineStr">
        <is>
          <t>Hiệu trưởng</t>
        </is>
      </c>
      <c r="H67" s="3" t="inlineStr">
        <is>
          <t>multipart: file=sample.png (file)</t>
        </is>
      </c>
      <c r="I67" s="2" t="n">
        <v>200</v>
      </c>
      <c r="J67" s="2" t="n">
        <v>0</v>
      </c>
      <c r="K67" s="3" t="inlineStr">
        <is>
          <t>Có photoUrl</t>
        </is>
      </c>
      <c r="L67" s="4" t="n"/>
      <c r="M67" s="5" t="n"/>
      <c r="N67" s="4" t="n"/>
    </row>
    <row r="68">
      <c r="A68" s="2" t="n">
        <v>67</v>
      </c>
      <c r="B68" s="2" t="inlineStr">
        <is>
          <t>TC067</t>
        </is>
      </c>
      <c r="C68" s="3" t="inlineStr">
        <is>
          <t>Người đón trẻ</t>
        </is>
      </c>
      <c r="D68" s="3" t="inlineStr">
        <is>
          <t>Phụ huynh thêm người đón</t>
        </is>
      </c>
      <c r="E68" s="2" t="inlineStr">
        <is>
          <t>POST</t>
        </is>
      </c>
      <c r="F68" s="3" t="inlineStr">
        <is>
          <t>/api/parent/children/{{childId}}/pickup-persons</t>
        </is>
      </c>
      <c r="G68" s="3" t="inlineStr">
        <is>
          <t>Phụ huynh</t>
        </is>
      </c>
      <c r="H68" s="3" t="inlineStr">
        <is>
          <t>multipart: fullName=Bà Tư, relationship=Bà ngoại, phoneNumber=0933333333, photo=sample.png (file)</t>
        </is>
      </c>
      <c r="I68" s="2" t="n">
        <v>201</v>
      </c>
      <c r="J68" s="2" t="n">
        <v>0</v>
      </c>
      <c r="K68" s="3" t="inlineStr">
        <is>
          <t>Trạng thái PENDING; Có photoUrl</t>
        </is>
      </c>
      <c r="L68" s="4" t="n"/>
      <c r="M68" s="5" t="n"/>
      <c r="N68" s="4" t="n"/>
    </row>
    <row r="69">
      <c r="A69" s="2" t="n">
        <v>68</v>
      </c>
      <c r="B69" s="2" t="inlineStr">
        <is>
          <t>TC068</t>
        </is>
      </c>
      <c r="C69" s="3" t="inlineStr">
        <is>
          <t>Người đón trẻ</t>
        </is>
      </c>
      <c r="D69" s="3" t="inlineStr">
        <is>
          <t>Thêm người đón thiếu ảnh</t>
        </is>
      </c>
      <c r="E69" s="2" t="inlineStr">
        <is>
          <t>POST</t>
        </is>
      </c>
      <c r="F69" s="3" t="inlineStr">
        <is>
          <t>/api/parent/children/{{childId}}/pickup-persons</t>
        </is>
      </c>
      <c r="G69" s="3" t="inlineStr">
        <is>
          <t>Phụ huynh</t>
        </is>
      </c>
      <c r="H69" s="3" t="inlineStr">
        <is>
          <t>multipart: fullName=Bà Tư, relationship=Bà ngoại, phoneNumber=0933333333</t>
        </is>
      </c>
      <c r="I69" s="2" t="n">
        <v>400</v>
      </c>
      <c r="J69" s="2" t="n">
        <v>1000</v>
      </c>
      <c r="K69" s="3" t="inlineStr"/>
      <c r="L69" s="4" t="n"/>
      <c r="M69" s="5" t="n"/>
      <c r="N69" s="4" t="n"/>
    </row>
    <row r="70">
      <c r="A70" s="2" t="n">
        <v>69</v>
      </c>
      <c r="B70" s="2" t="inlineStr">
        <is>
          <t>TC069</t>
        </is>
      </c>
      <c r="C70" s="3" t="inlineStr">
        <is>
          <t>Người đón trẻ</t>
        </is>
      </c>
      <c r="D70" s="3" t="inlineStr">
        <is>
          <t>Thêm người đón SĐT sai</t>
        </is>
      </c>
      <c r="E70" s="2" t="inlineStr">
        <is>
          <t>POST</t>
        </is>
      </c>
      <c r="F70" s="3" t="inlineStr">
        <is>
          <t>/api/parent/children/{{childId}}/pickup-persons</t>
        </is>
      </c>
      <c r="G70" s="3" t="inlineStr">
        <is>
          <t>Phụ huynh</t>
        </is>
      </c>
      <c r="H70" s="3" t="inlineStr">
        <is>
          <t>multipart: fullName=Bà Tư, relationship=Bà ngoại, phoneNumber=123, photo=sample.png (file)</t>
        </is>
      </c>
      <c r="I70" s="2" t="n">
        <v>400</v>
      </c>
      <c r="J70" s="2" t="n">
        <v>1000</v>
      </c>
      <c r="K70" s="3" t="inlineStr">
        <is>
          <t>Báo lỗi phoneNumber</t>
        </is>
      </c>
      <c r="L70" s="4" t="n"/>
      <c r="M70" s="5" t="n"/>
      <c r="N70" s="4" t="n"/>
    </row>
    <row r="71">
      <c r="A71" s="2" t="n">
        <v>70</v>
      </c>
      <c r="B71" s="2" t="inlineStr">
        <is>
          <t>TC070</t>
        </is>
      </c>
      <c r="C71" s="3" t="inlineStr">
        <is>
          <t>Người đón trẻ</t>
        </is>
      </c>
      <c r="D71" s="3" t="inlineStr">
        <is>
          <t>Gửi form-urlencoded thay vì multipart</t>
        </is>
      </c>
      <c r="E71" s="2" t="inlineStr">
        <is>
          <t>POST</t>
        </is>
      </c>
      <c r="F71" s="3" t="inlineStr">
        <is>
          <t>/api/parent/children/{{childId}}/pickup-persons</t>
        </is>
      </c>
      <c r="G71" s="3" t="inlineStr">
        <is>
          <t>Phụ huynh</t>
        </is>
      </c>
      <c r="H71" s="3" t="inlineStr">
        <is>
          <t>form-urlencoded: fullName=Bà Tư, relationship=Bà ngoại, phoneNumber=0933333333</t>
        </is>
      </c>
      <c r="I71" s="2" t="n">
        <v>415</v>
      </c>
      <c r="J71" s="2" t="n">
        <v>415</v>
      </c>
      <c r="K71" s="3" t="inlineStr">
        <is>
          <t>Chưa khớp endpoint nên trả theo format GlobalExceptionHandler: code = HTTP status</t>
        </is>
      </c>
      <c r="L71" s="4" t="n"/>
      <c r="M71" s="5" t="n"/>
      <c r="N71" s="4" t="n"/>
    </row>
    <row r="72">
      <c r="A72" s="2" t="n">
        <v>71</v>
      </c>
      <c r="B72" s="2" t="inlineStr">
        <is>
          <t>TC071</t>
        </is>
      </c>
      <c r="C72" s="3" t="inlineStr">
        <is>
          <t>Người đón trẻ</t>
        </is>
      </c>
      <c r="D72" s="3" t="inlineStr">
        <is>
          <t>Thêm người đón cho trẻ không phải con mình</t>
        </is>
      </c>
      <c r="E72" s="2" t="inlineStr">
        <is>
          <t>POST</t>
        </is>
      </c>
      <c r="F72" s="3" t="inlineStr">
        <is>
          <t>/api/parent/children/{{otherChildId}}/pickup-persons</t>
        </is>
      </c>
      <c r="G72" s="3" t="inlineStr">
        <is>
          <t>Phụ huynh</t>
        </is>
      </c>
      <c r="H72" s="3" t="inlineStr">
        <is>
          <t>multipart: fullName=Bà Tư, relationship=Bà ngoại, phoneNumber=0933333333, photo=sample.png (file)</t>
        </is>
      </c>
      <c r="I72" s="2" t="n">
        <v>404</v>
      </c>
      <c r="J72" s="2" t="n">
        <v>1500</v>
      </c>
      <c r="K72" s="3" t="inlineStr"/>
      <c r="L72" s="4" t="n"/>
      <c r="M72" s="5" t="n"/>
      <c r="N72" s="4" t="n"/>
    </row>
    <row r="73">
      <c r="A73" s="2" t="n">
        <v>72</v>
      </c>
      <c r="B73" s="2" t="inlineStr">
        <is>
          <t>TC072</t>
        </is>
      </c>
      <c r="C73" s="3" t="inlineStr">
        <is>
          <t>Người đón trẻ</t>
        </is>
      </c>
      <c r="D73" s="3" t="inlineStr">
        <is>
          <t>Phụ huynh xem danh sách người đón</t>
        </is>
      </c>
      <c r="E73" s="2" t="inlineStr">
        <is>
          <t>GET</t>
        </is>
      </c>
      <c r="F73" s="3" t="inlineStr">
        <is>
          <t>/api/parent/children/{{childId}}/pickup-persons</t>
        </is>
      </c>
      <c r="G73" s="3" t="inlineStr">
        <is>
          <t>Phụ huynh</t>
        </is>
      </c>
      <c r="H73" s="3" t="inlineStr"/>
      <c r="I73" s="2" t="n">
        <v>200</v>
      </c>
      <c r="J73" s="2" t="n">
        <v>0</v>
      </c>
      <c r="K73" s="3" t="inlineStr">
        <is>
          <t>Có 1 người</t>
        </is>
      </c>
      <c r="L73" s="4" t="n"/>
      <c r="M73" s="5" t="n"/>
      <c r="N73" s="4" t="n"/>
    </row>
    <row r="74">
      <c r="A74" s="2" t="n">
        <v>73</v>
      </c>
      <c r="B74" s="2" t="inlineStr">
        <is>
          <t>TC073</t>
        </is>
      </c>
      <c r="C74" s="3" t="inlineStr">
        <is>
          <t>Người đón trẻ</t>
        </is>
      </c>
      <c r="D74" s="3" t="inlineStr">
        <is>
          <t>Giáo viên xem người đón khi chưa duyệt</t>
        </is>
      </c>
      <c r="E74" s="2" t="inlineStr">
        <is>
          <t>GET</t>
        </is>
      </c>
      <c r="F74" s="3" t="inlineStr">
        <is>
          <t>/api/teacher/children/{{childId}}/pickup-persons</t>
        </is>
      </c>
      <c r="G74" s="3" t="inlineStr">
        <is>
          <t>Giáo viên</t>
        </is>
      </c>
      <c r="H74" s="3" t="inlineStr"/>
      <c r="I74" s="2" t="n">
        <v>200</v>
      </c>
      <c r="J74" s="2" t="n">
        <v>0</v>
      </c>
      <c r="K74" s="3" t="inlineStr">
        <is>
          <t>Chưa thấy ai</t>
        </is>
      </c>
      <c r="L74" s="4" t="n"/>
      <c r="M74" s="5" t="n"/>
      <c r="N74" s="4" t="n"/>
    </row>
    <row r="75">
      <c r="A75" s="2" t="n">
        <v>74</v>
      </c>
      <c r="B75" s="2" t="inlineStr">
        <is>
          <t>TC074</t>
        </is>
      </c>
      <c r="C75" s="3" t="inlineStr">
        <is>
          <t>Người đón trẻ</t>
        </is>
      </c>
      <c r="D75" s="3" t="inlineStr">
        <is>
          <t>BGH xem danh sách chờ duyệt</t>
        </is>
      </c>
      <c r="E75" s="2" t="inlineStr">
        <is>
          <t>GET</t>
        </is>
      </c>
      <c r="F75" s="3" t="inlineStr">
        <is>
          <t>/api/management/pickup-persons?status=PENDING</t>
        </is>
      </c>
      <c r="G75" s="3" t="inlineStr">
        <is>
          <t>Phó hiệu trưởng</t>
        </is>
      </c>
      <c r="H75" s="3" t="inlineStr"/>
      <c r="I75" s="2" t="n">
        <v>200</v>
      </c>
      <c r="J75" s="2" t="n">
        <v>0</v>
      </c>
      <c r="K75" s="3" t="inlineStr">
        <is>
          <t>Có người vừa thêm</t>
        </is>
      </c>
      <c r="L75" s="4" t="n"/>
      <c r="M75" s="5" t="n"/>
      <c r="N75" s="4" t="n"/>
    </row>
    <row r="76">
      <c r="A76" s="2" t="n">
        <v>75</v>
      </c>
      <c r="B76" s="2" t="inlineStr">
        <is>
          <t>TC075</t>
        </is>
      </c>
      <c r="C76" s="3" t="inlineStr">
        <is>
          <t>Người đón trẻ</t>
        </is>
      </c>
      <c r="D76" s="3" t="inlineStr">
        <is>
          <t>Lọc theo trạng thái không hợp lệ</t>
        </is>
      </c>
      <c r="E76" s="2" t="inlineStr">
        <is>
          <t>GET</t>
        </is>
      </c>
      <c r="F76" s="3" t="inlineStr">
        <is>
          <t>/api/management/pickup-persons?status=ABC</t>
        </is>
      </c>
      <c r="G76" s="3" t="inlineStr">
        <is>
          <t>Phó hiệu trưởng</t>
        </is>
      </c>
      <c r="H76" s="3" t="inlineStr"/>
      <c r="I76" s="2" t="n">
        <v>400</v>
      </c>
      <c r="J76" s="2" t="n">
        <v>1000</v>
      </c>
      <c r="K76" s="3" t="inlineStr"/>
      <c r="L76" s="4" t="n"/>
      <c r="M76" s="5" t="n"/>
      <c r="N76" s="4" t="n"/>
    </row>
    <row r="77">
      <c r="A77" s="2" t="n">
        <v>76</v>
      </c>
      <c r="B77" s="2" t="inlineStr">
        <is>
          <t>TC076</t>
        </is>
      </c>
      <c r="C77" s="3" t="inlineStr">
        <is>
          <t>Người đón trẻ</t>
        </is>
      </c>
      <c r="D77" s="3" t="inlineStr">
        <is>
          <t>Phụ huynh tự duyệt (không được phép)</t>
        </is>
      </c>
      <c r="E77" s="2" t="inlineStr">
        <is>
          <t>POST</t>
        </is>
      </c>
      <c r="F77" s="3" t="inlineStr">
        <is>
          <t>/api/management/pickup-persons/{{pickupPersonId}}/approve</t>
        </is>
      </c>
      <c r="G77" s="3" t="inlineStr">
        <is>
          <t>Phụ huynh</t>
        </is>
      </c>
      <c r="H77" s="3" t="inlineStr"/>
      <c r="I77" s="2" t="n">
        <v>403</v>
      </c>
      <c r="J77" s="2" t="n">
        <v>1103</v>
      </c>
      <c r="K77" s="3" t="inlineStr"/>
      <c r="L77" s="4" t="n"/>
      <c r="M77" s="5" t="n"/>
      <c r="N77" s="4" t="n"/>
    </row>
    <row r="78">
      <c r="A78" s="2" t="n">
        <v>77</v>
      </c>
      <c r="B78" s="2" t="inlineStr">
        <is>
          <t>TC077</t>
        </is>
      </c>
      <c r="C78" s="3" t="inlineStr">
        <is>
          <t>Người đón trẻ</t>
        </is>
      </c>
      <c r="D78" s="3" t="inlineStr">
        <is>
          <t>Giáo viên duyệt (không được phép)</t>
        </is>
      </c>
      <c r="E78" s="2" t="inlineStr">
        <is>
          <t>POST</t>
        </is>
      </c>
      <c r="F78" s="3" t="inlineStr">
        <is>
          <t>/api/management/pickup-persons/{{pickupPersonId}}/approve</t>
        </is>
      </c>
      <c r="G78" s="3" t="inlineStr">
        <is>
          <t>Giáo viên</t>
        </is>
      </c>
      <c r="H78" s="3" t="inlineStr"/>
      <c r="I78" s="2" t="n">
        <v>403</v>
      </c>
      <c r="J78" s="2" t="n">
        <v>1103</v>
      </c>
      <c r="K78" s="3" t="inlineStr"/>
      <c r="L78" s="4" t="n"/>
      <c r="M78" s="5" t="n"/>
      <c r="N78" s="4" t="n"/>
    </row>
    <row r="79">
      <c r="A79" s="2" t="n">
        <v>78</v>
      </c>
      <c r="B79" s="2" t="inlineStr">
        <is>
          <t>TC078</t>
        </is>
      </c>
      <c r="C79" s="3" t="inlineStr">
        <is>
          <t>Người đón trẻ</t>
        </is>
      </c>
      <c r="D79" s="3" t="inlineStr">
        <is>
          <t>BGH duyệt người đón</t>
        </is>
      </c>
      <c r="E79" s="2" t="inlineStr">
        <is>
          <t>POST</t>
        </is>
      </c>
      <c r="F79" s="3" t="inlineStr">
        <is>
          <t>/api/management/pickup-persons/{{pickupPersonId}}/approve</t>
        </is>
      </c>
      <c r="G79" s="3" t="inlineStr">
        <is>
          <t>Phó hiệu trưởng</t>
        </is>
      </c>
      <c r="H79" s="3" t="inlineStr"/>
      <c r="I79" s="2" t="n">
        <v>200</v>
      </c>
      <c r="J79" s="2" t="n">
        <v>0</v>
      </c>
      <c r="K79" s="3" t="inlineStr">
        <is>
          <t>APPROVED; Có reviewedAt</t>
        </is>
      </c>
      <c r="L79" s="4" t="n"/>
      <c r="M79" s="5" t="n"/>
      <c r="N79" s="4" t="n"/>
    </row>
    <row r="80">
      <c r="A80" s="2" t="n">
        <v>79</v>
      </c>
      <c r="B80" s="2" t="inlineStr">
        <is>
          <t>TC079</t>
        </is>
      </c>
      <c r="C80" s="3" t="inlineStr">
        <is>
          <t>Người đón trẻ</t>
        </is>
      </c>
      <c r="D80" s="3" t="inlineStr">
        <is>
          <t>Giáo viên xem người đón đã duyệt</t>
        </is>
      </c>
      <c r="E80" s="2" t="inlineStr">
        <is>
          <t>GET</t>
        </is>
      </c>
      <c r="F80" s="3" t="inlineStr">
        <is>
          <t>/api/teacher/children/{{childId}}/pickup-persons</t>
        </is>
      </c>
      <c r="G80" s="3" t="inlineStr">
        <is>
          <t>Giáo viên</t>
        </is>
      </c>
      <c r="H80" s="3" t="inlineStr"/>
      <c r="I80" s="2" t="n">
        <v>200</v>
      </c>
      <c r="J80" s="2" t="n">
        <v>0</v>
      </c>
      <c r="K80" s="3" t="inlineStr">
        <is>
          <t>Thấy 1 người</t>
        </is>
      </c>
      <c r="L80" s="4" t="n"/>
      <c r="M80" s="5" t="n"/>
      <c r="N80" s="4" t="n"/>
    </row>
    <row r="81">
      <c r="A81" s="2" t="n">
        <v>80</v>
      </c>
      <c r="B81" s="2" t="inlineStr">
        <is>
          <t>TC080</t>
        </is>
      </c>
      <c r="C81" s="3" t="inlineStr">
        <is>
          <t>Người đón trẻ</t>
        </is>
      </c>
      <c r="D81" s="3" t="inlineStr">
        <is>
          <t>Phụ huynh sửa người đón (giữ ảnh cũ)</t>
        </is>
      </c>
      <c r="E81" s="2" t="inlineStr">
        <is>
          <t>PUT</t>
        </is>
      </c>
      <c r="F81" s="3" t="inlineStr">
        <is>
          <t>/api/parent/pickup-persons/{{pickupPersonId}}</t>
        </is>
      </c>
      <c r="G81" s="3" t="inlineStr">
        <is>
          <t>Phụ huynh</t>
        </is>
      </c>
      <c r="H81" s="3" t="inlineStr">
        <is>
          <t>multipart: fullName=Bà Tư, relationship=Bà nội, phoneNumber=0933333333</t>
        </is>
      </c>
      <c r="I81" s="2" t="n">
        <v>200</v>
      </c>
      <c r="J81" s="2" t="n">
        <v>0</v>
      </c>
      <c r="K81" s="3" t="inlineStr">
        <is>
          <t>Quay về PENDING; relationship mới</t>
        </is>
      </c>
      <c r="L81" s="4" t="n"/>
      <c r="M81" s="5" t="n"/>
      <c r="N81" s="4" t="n"/>
    </row>
    <row r="82">
      <c r="A82" s="2" t="n">
        <v>81</v>
      </c>
      <c r="B82" s="2" t="inlineStr">
        <is>
          <t>TC081</t>
        </is>
      </c>
      <c r="C82" s="3" t="inlineStr">
        <is>
          <t>Người đón trẻ</t>
        </is>
      </c>
      <c r="D82" s="3" t="inlineStr">
        <is>
          <t>Giáo viên không còn thấy người đón vừa sửa</t>
        </is>
      </c>
      <c r="E82" s="2" t="inlineStr">
        <is>
          <t>GET</t>
        </is>
      </c>
      <c r="F82" s="3" t="inlineStr">
        <is>
          <t>/api/teacher/children/{{childId}}/pickup-persons</t>
        </is>
      </c>
      <c r="G82" s="3" t="inlineStr">
        <is>
          <t>Giáo viên</t>
        </is>
      </c>
      <c r="H82" s="3" t="inlineStr"/>
      <c r="I82" s="2" t="n">
        <v>200</v>
      </c>
      <c r="J82" s="2" t="n">
        <v>0</v>
      </c>
      <c r="K82" s="3" t="inlineStr">
        <is>
          <t>Không thấy ai</t>
        </is>
      </c>
      <c r="L82" s="4" t="n"/>
      <c r="M82" s="5" t="n"/>
      <c r="N82" s="4" t="n"/>
    </row>
    <row r="83">
      <c r="A83" s="2" t="n">
        <v>82</v>
      </c>
      <c r="B83" s="2" t="inlineStr">
        <is>
          <t>TC082</t>
        </is>
      </c>
      <c r="C83" s="3" t="inlineStr">
        <is>
          <t>Người đón trẻ</t>
        </is>
      </c>
      <c r="D83" s="3" t="inlineStr">
        <is>
          <t>BGH từ chối có lý do</t>
        </is>
      </c>
      <c r="E83" s="2" t="inlineStr">
        <is>
          <t>POST</t>
        </is>
      </c>
      <c r="F83" s="3" t="inlineStr">
        <is>
          <t>/api/management/pickup-persons/{{pickupPersonId}}/reject</t>
        </is>
      </c>
      <c r="G83" s="3" t="inlineStr">
        <is>
          <t>Phó hiệu trưởng</t>
        </is>
      </c>
      <c r="H83" s="3" t="inlineStr">
        <is>
          <t>{"reason": "Ảnh không rõ mặt"}</t>
        </is>
      </c>
      <c r="I83" s="2" t="n">
        <v>200</v>
      </c>
      <c r="J83" s="2" t="n">
        <v>0</v>
      </c>
      <c r="K83" s="3" t="inlineStr">
        <is>
          <t>REJECTED; Có lý do</t>
        </is>
      </c>
      <c r="L83" s="4" t="n"/>
      <c r="M83" s="5" t="n"/>
      <c r="N83" s="4" t="n"/>
    </row>
    <row r="84">
      <c r="A84" s="2" t="n">
        <v>83</v>
      </c>
      <c r="B84" s="2" t="inlineStr">
        <is>
          <t>TC083</t>
        </is>
      </c>
      <c r="C84" s="3" t="inlineStr">
        <is>
          <t>Người đón trẻ</t>
        </is>
      </c>
      <c r="D84" s="3" t="inlineStr">
        <is>
          <t>Duyệt người đón không tồn tại</t>
        </is>
      </c>
      <c r="E84" s="2" t="inlineStr">
        <is>
          <t>POST</t>
        </is>
      </c>
      <c r="F84" s="3" t="inlineStr">
        <is>
          <t>/api/management/pickup-persons/999999/approve</t>
        </is>
      </c>
      <c r="G84" s="3" t="inlineStr">
        <is>
          <t>Phó hiệu trưởng</t>
        </is>
      </c>
      <c r="H84" s="3" t="inlineStr"/>
      <c r="I84" s="2" t="n">
        <v>404</v>
      </c>
      <c r="J84" s="2" t="n">
        <v>1501</v>
      </c>
      <c r="K84" s="3" t="inlineStr"/>
      <c r="L84" s="4" t="n"/>
      <c r="M84" s="5" t="n"/>
      <c r="N84" s="4" t="n"/>
    </row>
    <row r="85">
      <c r="A85" s="2" t="n">
        <v>84</v>
      </c>
      <c r="B85" s="2" t="inlineStr">
        <is>
          <t>TC084</t>
        </is>
      </c>
      <c r="C85" s="3" t="inlineStr">
        <is>
          <t>Người đón trẻ</t>
        </is>
      </c>
      <c r="D85" s="3" t="inlineStr">
        <is>
          <t>Phụ huynh xoá người đón</t>
        </is>
      </c>
      <c r="E85" s="2" t="inlineStr">
        <is>
          <t>DELETE</t>
        </is>
      </c>
      <c r="F85" s="3" t="inlineStr">
        <is>
          <t>/api/parent/pickup-persons/{{pickupPersonId}}</t>
        </is>
      </c>
      <c r="G85" s="3" t="inlineStr">
        <is>
          <t>Phụ huynh</t>
        </is>
      </c>
      <c r="H85" s="3" t="inlineStr"/>
      <c r="I85" s="2" t="n">
        <v>200</v>
      </c>
      <c r="J85" s="2" t="n">
        <v>0</v>
      </c>
      <c r="K85" s="3" t="inlineStr"/>
      <c r="L85" s="4" t="n"/>
      <c r="M85" s="5" t="n"/>
      <c r="N85" s="4" t="n"/>
    </row>
    <row r="86">
      <c r="A86" s="2" t="n">
        <v>85</v>
      </c>
      <c r="B86" s="2" t="inlineStr">
        <is>
          <t>TC085</t>
        </is>
      </c>
      <c r="C86" s="3" t="inlineStr">
        <is>
          <t>Người đón trẻ</t>
        </is>
      </c>
      <c r="D86" s="3" t="inlineStr">
        <is>
          <t>Xoá người đón đã bị xoá</t>
        </is>
      </c>
      <c r="E86" s="2" t="inlineStr">
        <is>
          <t>DELETE</t>
        </is>
      </c>
      <c r="F86" s="3" t="inlineStr">
        <is>
          <t>/api/parent/pickup-persons/{{pickupPersonId}}</t>
        </is>
      </c>
      <c r="G86" s="3" t="inlineStr">
        <is>
          <t>Phụ huynh</t>
        </is>
      </c>
      <c r="H86" s="3" t="inlineStr"/>
      <c r="I86" s="2" t="n">
        <v>404</v>
      </c>
      <c r="J86" s="2" t="n">
        <v>1501</v>
      </c>
      <c r="K86" s="3" t="inlineStr"/>
      <c r="L86" s="4" t="n"/>
      <c r="M86" s="5" t="n"/>
      <c r="N86" s="4" t="n"/>
    </row>
    <row r="87">
      <c r="A87" s="2" t="n">
        <v>86</v>
      </c>
      <c r="B87" s="2" t="inlineStr">
        <is>
          <t>TC086</t>
        </is>
      </c>
      <c r="C87" s="3" t="inlineStr">
        <is>
          <t>Khoá tài khoản</t>
        </is>
      </c>
      <c r="D87" s="3" t="inlineStr">
        <is>
          <t>Phó HT khoá Phó HT khác (không được phép)</t>
        </is>
      </c>
      <c r="E87" s="2" t="inlineStr">
        <is>
          <t>PUT</t>
        </is>
      </c>
      <c r="F87" s="3" t="inlineStr">
        <is>
          <t>/api/management/users/{{vice2Id}}/status</t>
        </is>
      </c>
      <c r="G87" s="3" t="inlineStr">
        <is>
          <t>Phó hiệu trưởng</t>
        </is>
      </c>
      <c r="H87" s="3" t="inlineStr">
        <is>
          <t>{"status": "LOCKED"}</t>
        </is>
      </c>
      <c r="I87" s="2" t="n">
        <v>403</v>
      </c>
      <c r="J87" s="2" t="n">
        <v>1103</v>
      </c>
      <c r="K87" s="3" t="inlineStr"/>
      <c r="L87" s="4" t="n"/>
      <c r="M87" s="5" t="n"/>
      <c r="N87" s="4" t="n"/>
    </row>
    <row r="88">
      <c r="A88" s="2" t="n">
        <v>87</v>
      </c>
      <c r="B88" s="2" t="inlineStr">
        <is>
          <t>TC087</t>
        </is>
      </c>
      <c r="C88" s="3" t="inlineStr">
        <is>
          <t>Khoá tài khoản</t>
        </is>
      </c>
      <c r="D88" s="3" t="inlineStr">
        <is>
          <t>Phó HT khoá Hiệu trưởng (không được phép)</t>
        </is>
      </c>
      <c r="E88" s="2" t="inlineStr">
        <is>
          <t>PUT</t>
        </is>
      </c>
      <c r="F88" s="3" t="inlineStr">
        <is>
          <t>/api/management/users/{{principalId}}/status</t>
        </is>
      </c>
      <c r="G88" s="3" t="inlineStr">
        <is>
          <t>Phó hiệu trưởng</t>
        </is>
      </c>
      <c r="H88" s="3" t="inlineStr">
        <is>
          <t>{"status": "LOCKED"}</t>
        </is>
      </c>
      <c r="I88" s="2" t="n">
        <v>403</v>
      </c>
      <c r="J88" s="2" t="n">
        <v>1103</v>
      </c>
      <c r="K88" s="3" t="inlineStr"/>
      <c r="L88" s="4" t="n"/>
      <c r="M88" s="5" t="n"/>
      <c r="N88" s="4" t="n"/>
    </row>
    <row r="89">
      <c r="A89" s="2" t="n">
        <v>88</v>
      </c>
      <c r="B89" s="2" t="inlineStr">
        <is>
          <t>TC088</t>
        </is>
      </c>
      <c r="C89" s="3" t="inlineStr">
        <is>
          <t>Khoá tài khoản</t>
        </is>
      </c>
      <c r="D89" s="3" t="inlineStr">
        <is>
          <t>Hiệu trưởng tự khoá mình</t>
        </is>
      </c>
      <c r="E89" s="2" t="inlineStr">
        <is>
          <t>PUT</t>
        </is>
      </c>
      <c r="F89" s="3" t="inlineStr">
        <is>
          <t>/api/management/users/{{principalId}}/status</t>
        </is>
      </c>
      <c r="G89" s="3" t="inlineStr">
        <is>
          <t>Hiệu trưởng</t>
        </is>
      </c>
      <c r="H89" s="3" t="inlineStr">
        <is>
          <t>{"status": "LOCKED"}</t>
        </is>
      </c>
      <c r="I89" s="2" t="n">
        <v>400</v>
      </c>
      <c r="J89" s="2" t="n">
        <v>1209</v>
      </c>
      <c r="K89" s="3" t="inlineStr"/>
      <c r="L89" s="4" t="n"/>
      <c r="M89" s="5" t="n"/>
      <c r="N89" s="4" t="n"/>
    </row>
    <row r="90">
      <c r="A90" s="2" t="n">
        <v>89</v>
      </c>
      <c r="B90" s="2" t="inlineStr">
        <is>
          <t>TC089</t>
        </is>
      </c>
      <c r="C90" s="3" t="inlineStr">
        <is>
          <t>Khoá tài khoản</t>
        </is>
      </c>
      <c r="D90" s="3" t="inlineStr">
        <is>
          <t>Giáo viên khoá người khác (không được phép)</t>
        </is>
      </c>
      <c r="E90" s="2" t="inlineStr">
        <is>
          <t>PUT</t>
        </is>
      </c>
      <c r="F90" s="3" t="inlineStr">
        <is>
          <t>/api/management/users/{{staffId}}/status</t>
        </is>
      </c>
      <c r="G90" s="3" t="inlineStr">
        <is>
          <t>Giáo viên</t>
        </is>
      </c>
      <c r="H90" s="3" t="inlineStr">
        <is>
          <t>{"status": "LOCKED"}</t>
        </is>
      </c>
      <c r="I90" s="2" t="n">
        <v>403</v>
      </c>
      <c r="J90" s="2" t="n">
        <v>1103</v>
      </c>
      <c r="K90" s="3" t="inlineStr"/>
      <c r="L90" s="4" t="n"/>
      <c r="M90" s="5" t="n"/>
      <c r="N90" s="4" t="n"/>
    </row>
    <row r="91">
      <c r="A91" s="2" t="n">
        <v>90</v>
      </c>
      <c r="B91" s="2" t="inlineStr">
        <is>
          <t>TC090</t>
        </is>
      </c>
      <c r="C91" s="3" t="inlineStr">
        <is>
          <t>Khoá tài khoản</t>
        </is>
      </c>
      <c r="D91" s="3" t="inlineStr">
        <is>
          <t>Trạng thái không hợp lệ</t>
        </is>
      </c>
      <c r="E91" s="2" t="inlineStr">
        <is>
          <t>PUT</t>
        </is>
      </c>
      <c r="F91" s="3" t="inlineStr">
        <is>
          <t>/api/management/users/{{teacherId}}/status</t>
        </is>
      </c>
      <c r="G91" s="3" t="inlineStr">
        <is>
          <t>Hiệu trưởng</t>
        </is>
      </c>
      <c r="H91" s="3" t="inlineStr">
        <is>
          <t>{"status": "XYZ"}</t>
        </is>
      </c>
      <c r="I91" s="2" t="n">
        <v>400</v>
      </c>
      <c r="J91" s="2" t="n">
        <v>1001</v>
      </c>
      <c r="K91" s="3" t="inlineStr"/>
      <c r="L91" s="4" t="n"/>
      <c r="M91" s="5" t="n"/>
      <c r="N91" s="4" t="n"/>
    </row>
    <row r="92">
      <c r="A92" s="2" t="n">
        <v>91</v>
      </c>
      <c r="B92" s="2" t="inlineStr">
        <is>
          <t>TC091</t>
        </is>
      </c>
      <c r="C92" s="3" t="inlineStr">
        <is>
          <t>Khoá tài khoản</t>
        </is>
      </c>
      <c r="D92" s="3" t="inlineStr">
        <is>
          <t>Phó HT khoá giáo viên</t>
        </is>
      </c>
      <c r="E92" s="2" t="inlineStr">
        <is>
          <t>PUT</t>
        </is>
      </c>
      <c r="F92" s="3" t="inlineStr">
        <is>
          <t>/api/management/users/{{teacherId}}/status</t>
        </is>
      </c>
      <c r="G92" s="3" t="inlineStr">
        <is>
          <t>Phó hiệu trưởng</t>
        </is>
      </c>
      <c r="H92" s="3" t="inlineStr">
        <is>
          <t>{"status": "LOCKED"}</t>
        </is>
      </c>
      <c r="I92" s="2" t="n">
        <v>200</v>
      </c>
      <c r="J92" s="2" t="n">
        <v>0</v>
      </c>
      <c r="K92" s="3" t="inlineStr">
        <is>
          <t>LOCKED</t>
        </is>
      </c>
      <c r="L92" s="4" t="n"/>
      <c r="M92" s="5" t="n"/>
      <c r="N92" s="4" t="n"/>
    </row>
    <row r="93">
      <c r="A93" s="2" t="n">
        <v>92</v>
      </c>
      <c r="B93" s="2" t="inlineStr">
        <is>
          <t>TC092</t>
        </is>
      </c>
      <c r="C93" s="3" t="inlineStr">
        <is>
          <t>Khoá tài khoản</t>
        </is>
      </c>
      <c r="D93" s="3" t="inlineStr">
        <is>
          <t>Giáo viên bị khoá dùng token cũ</t>
        </is>
      </c>
      <c r="E93" s="2" t="inlineStr">
        <is>
          <t>GET</t>
        </is>
      </c>
      <c r="F93" s="3" t="inlineStr">
        <is>
          <t>/api/users/me</t>
        </is>
      </c>
      <c r="G93" s="3" t="inlineStr">
        <is>
          <t>Giáo viên</t>
        </is>
      </c>
      <c r="H93" s="3" t="inlineStr"/>
      <c r="I93" s="2" t="n">
        <v>403</v>
      </c>
      <c r="J93" s="2" t="n">
        <v>1102</v>
      </c>
      <c r="K93" s="3" t="inlineStr">
        <is>
          <t>Bị chặn ngay, không đợi token hết hạn</t>
        </is>
      </c>
      <c r="L93" s="4" t="n"/>
      <c r="M93" s="5" t="n"/>
      <c r="N93" s="4" t="n"/>
    </row>
    <row r="94">
      <c r="A94" s="2" t="n">
        <v>93</v>
      </c>
      <c r="B94" s="2" t="inlineStr">
        <is>
          <t>TC093</t>
        </is>
      </c>
      <c r="C94" s="3" t="inlineStr">
        <is>
          <t>Khoá tài khoản</t>
        </is>
      </c>
      <c r="D94" s="3" t="inlineStr">
        <is>
          <t>Giáo viên bị khoá làm mới token</t>
        </is>
      </c>
      <c r="E94" s="2" t="inlineStr">
        <is>
          <t>POST</t>
        </is>
      </c>
      <c r="F94" s="3" t="inlineStr">
        <is>
          <t>/api/auth/refresh-token</t>
        </is>
      </c>
      <c r="G94" s="3" t="inlineStr">
        <is>
          <t>Không token</t>
        </is>
      </c>
      <c r="H94" s="3" t="inlineStr">
        <is>
          <t>{"refreshToken": "{{teacherRefresh}}"}</t>
        </is>
      </c>
      <c r="I94" s="2" t="n">
        <v>403</v>
      </c>
      <c r="J94" s="2" t="n">
        <v>1102</v>
      </c>
      <c r="K94" s="3" t="inlineStr"/>
      <c r="L94" s="4" t="n"/>
      <c r="M94" s="5" t="n"/>
      <c r="N94" s="4" t="n"/>
    </row>
    <row r="95">
      <c r="A95" s="2" t="n">
        <v>94</v>
      </c>
      <c r="B95" s="2" t="inlineStr">
        <is>
          <t>TC094</t>
        </is>
      </c>
      <c r="C95" s="3" t="inlineStr">
        <is>
          <t>Khoá tài khoản</t>
        </is>
      </c>
      <c r="D95" s="3" t="inlineStr">
        <is>
          <t>Giáo viên bị khoá đăng nhập</t>
        </is>
      </c>
      <c r="E95" s="2" t="inlineStr">
        <is>
          <t>POST</t>
        </is>
      </c>
      <c r="F95" s="3" t="inlineStr">
        <is>
          <t>/api/auth/login</t>
        </is>
      </c>
      <c r="G95" s="3" t="inlineStr">
        <is>
          <t>Không token</t>
        </is>
      </c>
      <c r="H95" s="3" t="inlineStr">
        <is>
          <t>{"identifier": "{{teacherEmail}}", "password": "teacher123"}</t>
        </is>
      </c>
      <c r="I95" s="2" t="n">
        <v>403</v>
      </c>
      <c r="J95" s="2" t="n">
        <v>1102</v>
      </c>
      <c r="K95" s="3" t="inlineStr"/>
      <c r="L95" s="4" t="n"/>
      <c r="M95" s="5" t="n"/>
      <c r="N95" s="4" t="n"/>
    </row>
    <row r="96">
      <c r="A96" s="2" t="n">
        <v>95</v>
      </c>
      <c r="B96" s="2" t="inlineStr">
        <is>
          <t>TC095</t>
        </is>
      </c>
      <c r="C96" s="3" t="inlineStr">
        <is>
          <t>Khoá tài khoản</t>
        </is>
      </c>
      <c r="D96" s="3" t="inlineStr">
        <is>
          <t>Hiệu trưởng mở khoá giáo viên</t>
        </is>
      </c>
      <c r="E96" s="2" t="inlineStr">
        <is>
          <t>PUT</t>
        </is>
      </c>
      <c r="F96" s="3" t="inlineStr">
        <is>
          <t>/api/management/users/{{teacherId}}/status</t>
        </is>
      </c>
      <c r="G96" s="3" t="inlineStr">
        <is>
          <t>Hiệu trưởng</t>
        </is>
      </c>
      <c r="H96" s="3" t="inlineStr">
        <is>
          <t>{"status": "ACTIVE"}</t>
        </is>
      </c>
      <c r="I96" s="2" t="n">
        <v>200</v>
      </c>
      <c r="J96" s="2" t="n">
        <v>0</v>
      </c>
      <c r="K96" s="3" t="inlineStr">
        <is>
          <t>ACTIVE</t>
        </is>
      </c>
      <c r="L96" s="4" t="n"/>
      <c r="M96" s="5" t="n"/>
      <c r="N96" s="4" t="n"/>
    </row>
    <row r="97">
      <c r="A97" s="2" t="n">
        <v>96</v>
      </c>
      <c r="B97" s="2" t="inlineStr">
        <is>
          <t>TC096</t>
        </is>
      </c>
      <c r="C97" s="3" t="inlineStr">
        <is>
          <t>Khoá tài khoản</t>
        </is>
      </c>
      <c r="D97" s="3" t="inlineStr">
        <is>
          <t>Giáo viên đăng nhập lại sau khi mở khoá</t>
        </is>
      </c>
      <c r="E97" s="2" t="inlineStr">
        <is>
          <t>POST</t>
        </is>
      </c>
      <c r="F97" s="3" t="inlineStr">
        <is>
          <t>/api/auth/login</t>
        </is>
      </c>
      <c r="G97" s="3" t="inlineStr">
        <is>
          <t>Không token</t>
        </is>
      </c>
      <c r="H97" s="3" t="inlineStr">
        <is>
          <t>{"identifier": "{{teacherEmail}}", "password": "teacher123"}</t>
        </is>
      </c>
      <c r="I97" s="2" t="n">
        <v>200</v>
      </c>
      <c r="J97" s="2" t="n">
        <v>0</v>
      </c>
      <c r="K97" s="3" t="inlineStr"/>
      <c r="L97" s="4" t="n"/>
      <c r="M97" s="5" t="n"/>
      <c r="N97" s="4" t="n"/>
    </row>
    <row r="98">
      <c r="A98" s="2" t="n">
        <v>97</v>
      </c>
      <c r="B98" s="2" t="inlineStr">
        <is>
          <t>TC097</t>
        </is>
      </c>
      <c r="C98" s="3" t="inlineStr">
        <is>
          <t>Khoá tài khoản</t>
        </is>
      </c>
      <c r="D98" s="3" t="inlineStr">
        <is>
          <t>Phó HT khoá phụ huynh</t>
        </is>
      </c>
      <c r="E98" s="2" t="inlineStr">
        <is>
          <t>PUT</t>
        </is>
      </c>
      <c r="F98" s="3" t="inlineStr">
        <is>
          <t>/api/management/users/{{parentId}}/status</t>
        </is>
      </c>
      <c r="G98" s="3" t="inlineStr">
        <is>
          <t>Phó hiệu trưởng</t>
        </is>
      </c>
      <c r="H98" s="3" t="inlineStr">
        <is>
          <t>{"status": "LOCKED"}</t>
        </is>
      </c>
      <c r="I98" s="2" t="n">
        <v>200</v>
      </c>
      <c r="J98" s="2" t="n">
        <v>0</v>
      </c>
      <c r="K98" s="3" t="inlineStr"/>
      <c r="L98" s="4" t="n"/>
      <c r="M98" s="5" t="n"/>
      <c r="N98" s="4" t="n"/>
    </row>
    <row r="99">
      <c r="A99" s="2" t="n">
        <v>98</v>
      </c>
      <c r="B99" s="2" t="inlineStr">
        <is>
          <t>TC098</t>
        </is>
      </c>
      <c r="C99" s="3" t="inlineStr">
        <is>
          <t>Khoá tài khoản</t>
        </is>
      </c>
      <c r="D99" s="3" t="inlineStr">
        <is>
          <t>Phụ huynh bị khoá gọi API</t>
        </is>
      </c>
      <c r="E99" s="2" t="inlineStr">
        <is>
          <t>GET</t>
        </is>
      </c>
      <c r="F99" s="3" t="inlineStr">
        <is>
          <t>/api/parent/children</t>
        </is>
      </c>
      <c r="G99" s="3" t="inlineStr">
        <is>
          <t>Phụ huynh</t>
        </is>
      </c>
      <c r="H99" s="3" t="inlineStr"/>
      <c r="I99" s="2" t="n">
        <v>403</v>
      </c>
      <c r="J99" s="2" t="n">
        <v>1102</v>
      </c>
      <c r="K99" s="3" t="inlineStr"/>
      <c r="L99" s="4" t="n"/>
      <c r="M99" s="5" t="n"/>
      <c r="N99" s="4" t="n"/>
    </row>
    <row r="100">
      <c r="A100" s="2" t="n">
        <v>99</v>
      </c>
      <c r="B100" s="2" t="inlineStr">
        <is>
          <t>TC099</t>
        </is>
      </c>
      <c r="C100" s="3" t="inlineStr">
        <is>
          <t>Khoá tài khoản</t>
        </is>
      </c>
      <c r="D100" s="3" t="inlineStr">
        <is>
          <t>Phó HT mở khoá phụ huynh</t>
        </is>
      </c>
      <c r="E100" s="2" t="inlineStr">
        <is>
          <t>PUT</t>
        </is>
      </c>
      <c r="F100" s="3" t="inlineStr">
        <is>
          <t>/api/management/users/{{parentId}}/status</t>
        </is>
      </c>
      <c r="G100" s="3" t="inlineStr">
        <is>
          <t>Phó hiệu trưởng</t>
        </is>
      </c>
      <c r="H100" s="3" t="inlineStr">
        <is>
          <t>{"status": "ACTIVE"}</t>
        </is>
      </c>
      <c r="I100" s="2" t="n">
        <v>200</v>
      </c>
      <c r="J100" s="2" t="n">
        <v>0</v>
      </c>
      <c r="K100" s="3" t="inlineStr"/>
      <c r="L100" s="4" t="n"/>
      <c r="M100" s="5" t="n"/>
      <c r="N100" s="4" t="n"/>
    </row>
    <row r="101">
      <c r="A101" s="2" t="n">
        <v>100</v>
      </c>
      <c r="B101" s="2" t="inlineStr">
        <is>
          <t>TC100</t>
        </is>
      </c>
      <c r="C101" s="3" t="inlineStr">
        <is>
          <t>Sửa &amp; xoá tài khoản</t>
        </is>
      </c>
      <c r="D101" s="3" t="inlineStr">
        <is>
          <t>Danh sách tài khoản lọc role + từ khoá</t>
        </is>
      </c>
      <c r="E101" s="2" t="inlineStr">
        <is>
          <t>GET</t>
        </is>
      </c>
      <c r="F101" s="3" t="inlineStr">
        <is>
          <t>/api/management/users?role=TEACHER&amp;keyword=gv{{runId}}</t>
        </is>
      </c>
      <c r="G101" s="3" t="inlineStr">
        <is>
          <t>Phó hiệu trưởng</t>
        </is>
      </c>
      <c r="H101" s="3" t="inlineStr"/>
      <c r="I101" s="2" t="n">
        <v>200</v>
      </c>
      <c r="J101" s="2" t="n">
        <v>0</v>
      </c>
      <c r="K101" s="3" t="inlineStr">
        <is>
          <t>Tìm thấy 1 giáo viên</t>
        </is>
      </c>
      <c r="L101" s="4" t="n"/>
      <c r="M101" s="5" t="n"/>
      <c r="N101" s="4" t="n"/>
    </row>
    <row r="102">
      <c r="A102" s="2" t="n">
        <v>101</v>
      </c>
      <c r="B102" s="2" t="inlineStr">
        <is>
          <t>TC101</t>
        </is>
      </c>
      <c r="C102" s="3" t="inlineStr">
        <is>
          <t>Sửa &amp; xoá tài khoản</t>
        </is>
      </c>
      <c r="D102" s="3" t="inlineStr">
        <is>
          <t>Danh sách tài khoản có phân trang</t>
        </is>
      </c>
      <c r="E102" s="2" t="inlineStr">
        <is>
          <t>GET</t>
        </is>
      </c>
      <c r="F102" s="3" t="inlineStr">
        <is>
          <t>/api/management/users?page=0&amp;size=2</t>
        </is>
      </c>
      <c r="G102" s="3" t="inlineStr">
        <is>
          <t>Hiệu trưởng</t>
        </is>
      </c>
      <c r="H102" s="3" t="inlineStr"/>
      <c r="I102" s="2" t="n">
        <v>200</v>
      </c>
      <c r="J102" s="2" t="n">
        <v>0</v>
      </c>
      <c r="K102" s="3" t="inlineStr">
        <is>
          <t>Tối đa 2 dòng</t>
        </is>
      </c>
      <c r="L102" s="4" t="n"/>
      <c r="M102" s="5" t="n"/>
      <c r="N102" s="4" t="n"/>
    </row>
    <row r="103">
      <c r="A103" s="2" t="n">
        <v>102</v>
      </c>
      <c r="B103" s="2" t="inlineStr">
        <is>
          <t>TC102</t>
        </is>
      </c>
      <c r="C103" s="3" t="inlineStr">
        <is>
          <t>Sửa &amp; xoá tài khoản</t>
        </is>
      </c>
      <c r="D103" s="3" t="inlineStr">
        <is>
          <t>Giáo viên xem danh sách tài khoản (không được phép)</t>
        </is>
      </c>
      <c r="E103" s="2" t="inlineStr">
        <is>
          <t>GET</t>
        </is>
      </c>
      <c r="F103" s="3" t="inlineStr">
        <is>
          <t>/api/management/users</t>
        </is>
      </c>
      <c r="G103" s="3" t="inlineStr">
        <is>
          <t>Giáo viên</t>
        </is>
      </c>
      <c r="H103" s="3" t="inlineStr"/>
      <c r="I103" s="2" t="n">
        <v>403</v>
      </c>
      <c r="J103" s="2" t="n">
        <v>1103</v>
      </c>
      <c r="K103" s="3" t="inlineStr"/>
      <c r="L103" s="4" t="n"/>
      <c r="M103" s="5" t="n"/>
      <c r="N103" s="4" t="n"/>
    </row>
    <row r="104">
      <c r="A104" s="2" t="n">
        <v>103</v>
      </c>
      <c r="B104" s="2" t="inlineStr">
        <is>
          <t>TC103</t>
        </is>
      </c>
      <c r="C104" s="3" t="inlineStr">
        <is>
          <t>Sửa &amp; xoá tài khoản</t>
        </is>
      </c>
      <c r="D104" s="3" t="inlineStr">
        <is>
          <t>Chi tiết tài khoản phụ huynh kèm danh sách con</t>
        </is>
      </c>
      <c r="E104" s="2" t="inlineStr">
        <is>
          <t>GET</t>
        </is>
      </c>
      <c r="F104" s="3" t="inlineStr">
        <is>
          <t>/api/management/users/{{parentId}}</t>
        </is>
      </c>
      <c r="G104" s="3" t="inlineStr">
        <is>
          <t>Phó hiệu trưởng</t>
        </is>
      </c>
      <c r="H104" s="3" t="inlineStr"/>
      <c r="I104" s="2" t="n">
        <v>200</v>
      </c>
      <c r="J104" s="2" t="n">
        <v>0</v>
      </c>
      <c r="K104" s="3" t="inlineStr">
        <is>
          <t>Có 2 trẻ</t>
        </is>
      </c>
      <c r="L104" s="4" t="n"/>
      <c r="M104" s="5" t="n"/>
      <c r="N104" s="4" t="n"/>
    </row>
    <row r="105">
      <c r="A105" s="2" t="n">
        <v>104</v>
      </c>
      <c r="B105" s="2" t="inlineStr">
        <is>
          <t>TC104</t>
        </is>
      </c>
      <c r="C105" s="3" t="inlineStr">
        <is>
          <t>Sửa &amp; xoá tài khoản</t>
        </is>
      </c>
      <c r="D105" s="3" t="inlineStr">
        <is>
          <t>Sửa email giáo viên trùng email người khác</t>
        </is>
      </c>
      <c r="E105" s="2" t="inlineStr">
        <is>
          <t>PUT</t>
        </is>
      </c>
      <c r="F105" s="3" t="inlineStr">
        <is>
          <t>/api/management/users/{{teacherId}}</t>
        </is>
      </c>
      <c r="G105" s="3" t="inlineStr">
        <is>
          <t>Phó hiệu trưởng</t>
        </is>
      </c>
      <c r="H105" s="3" t="inlineStr">
        <is>
          <t>{"fullName": "Cô Lan", "email": "{{viceEmail}}"}</t>
        </is>
      </c>
      <c r="I105" s="2" t="n">
        <v>409</v>
      </c>
      <c r="J105" s="2" t="n">
        <v>1200</v>
      </c>
      <c r="K105" s="3" t="inlineStr"/>
      <c r="L105" s="4" t="n"/>
      <c r="M105" s="5" t="n"/>
      <c r="N105" s="4" t="n"/>
    </row>
    <row r="106">
      <c r="A106" s="2" t="n">
        <v>105</v>
      </c>
      <c r="B106" s="2" t="inlineStr">
        <is>
          <t>TC105</t>
        </is>
      </c>
      <c r="C106" s="3" t="inlineStr">
        <is>
          <t>Sửa &amp; xoá tài khoản</t>
        </is>
      </c>
      <c r="D106" s="3" t="inlineStr">
        <is>
          <t>Xoá email của nhân sự</t>
        </is>
      </c>
      <c r="E106" s="2" t="inlineStr">
        <is>
          <t>PUT</t>
        </is>
      </c>
      <c r="F106" s="3" t="inlineStr">
        <is>
          <t>/api/management/users/{{staffId}}</t>
        </is>
      </c>
      <c r="G106" s="3" t="inlineStr">
        <is>
          <t>Phó hiệu trưởng</t>
        </is>
      </c>
      <c r="H106" s="3" t="inlineStr">
        <is>
          <t>{"fullName": "Chú Bảo", "email": ""}</t>
        </is>
      </c>
      <c r="I106" s="2" t="n">
        <v>400</v>
      </c>
      <c r="J106" s="2" t="n">
        <v>1211</v>
      </c>
      <c r="K106" s="3" t="inlineStr"/>
      <c r="L106" s="4" t="n"/>
      <c r="M106" s="5" t="n"/>
      <c r="N106" s="4" t="n"/>
    </row>
    <row r="107">
      <c r="A107" s="2" t="n">
        <v>106</v>
      </c>
      <c r="B107" s="2" t="inlineStr">
        <is>
          <t>TC106</t>
        </is>
      </c>
      <c r="C107" s="3" t="inlineStr">
        <is>
          <t>Sửa &amp; xoá tài khoản</t>
        </is>
      </c>
      <c r="D107" s="3" t="inlineStr">
        <is>
          <t>Xoá SĐT của phụ huynh</t>
        </is>
      </c>
      <c r="E107" s="2" t="inlineStr">
        <is>
          <t>PUT</t>
        </is>
      </c>
      <c r="F107" s="3" t="inlineStr">
        <is>
          <t>/api/management/users/{{parentId}}</t>
        </is>
      </c>
      <c r="G107" s="3" t="inlineStr">
        <is>
          <t>Phó hiệu trưởng</t>
        </is>
      </c>
      <c r="H107" s="3" t="inlineStr">
        <is>
          <t>{"fullName": "Chị Hoa", "phoneNumber": ""}</t>
        </is>
      </c>
      <c r="I107" s="2" t="n">
        <v>400</v>
      </c>
      <c r="J107" s="2" t="n">
        <v>1212</v>
      </c>
      <c r="K107" s="3" t="inlineStr"/>
      <c r="L107" s="4" t="n"/>
      <c r="M107" s="5" t="n"/>
      <c r="N107" s="4" t="n"/>
    </row>
    <row r="108">
      <c r="A108" s="2" t="n">
        <v>107</v>
      </c>
      <c r="B108" s="2" t="inlineStr">
        <is>
          <t>TC107</t>
        </is>
      </c>
      <c r="C108" s="3" t="inlineStr">
        <is>
          <t>Sửa &amp; xoá tài khoản</t>
        </is>
      </c>
      <c r="D108" s="3" t="inlineStr">
        <is>
          <t>Phó HT sửa Phó HT khác (không được phép)</t>
        </is>
      </c>
      <c r="E108" s="2" t="inlineStr">
        <is>
          <t>PUT</t>
        </is>
      </c>
      <c r="F108" s="3" t="inlineStr">
        <is>
          <t>/api/management/users/{{vice2Id}}</t>
        </is>
      </c>
      <c r="G108" s="3" t="inlineStr">
        <is>
          <t>Phó hiệu trưởng</t>
        </is>
      </c>
      <c r="H108" s="3" t="inlineStr">
        <is>
          <t>{"fullName": "X", "email": "{{vice2Email}}"}</t>
        </is>
      </c>
      <c r="I108" s="2" t="n">
        <v>403</v>
      </c>
      <c r="J108" s="2" t="n">
        <v>1103</v>
      </c>
      <c r="K108" s="3" t="inlineStr"/>
      <c r="L108" s="4" t="n"/>
      <c r="M108" s="5" t="n"/>
      <c r="N108" s="4" t="n"/>
    </row>
    <row r="109">
      <c r="A109" s="2" t="n">
        <v>108</v>
      </c>
      <c r="B109" s="2" t="inlineStr">
        <is>
          <t>TC108</t>
        </is>
      </c>
      <c r="C109" s="3" t="inlineStr">
        <is>
          <t>Sửa &amp; xoá tài khoản</t>
        </is>
      </c>
      <c r="D109" s="3" t="inlineStr">
        <is>
          <t>Sửa thông tin giáo viên (email mới, chức vụ)</t>
        </is>
      </c>
      <c r="E109" s="2" t="inlineStr">
        <is>
          <t>PUT</t>
        </is>
      </c>
      <c r="F109" s="3" t="inlineStr">
        <is>
          <t>/api/management/users/{{teacherId}}</t>
        </is>
      </c>
      <c r="G109" s="3" t="inlineStr">
        <is>
          <t>Phó hiệu trưởng</t>
        </is>
      </c>
      <c r="H109" s="3" t="inlineStr">
        <is>
          <t>{"fullName": "Cô Lan Anh", "email": "gvmoi{{runId}}@gmail.com", "phoneNumber": "{{teacherPhone}}", "position": "Giáo viên lớp Mầm"}</t>
        </is>
      </c>
      <c r="I109" s="2" t="n">
        <v>200</v>
      </c>
      <c r="J109" s="2" t="n">
        <v>0</v>
      </c>
      <c r="K109" s="3" t="inlineStr">
        <is>
          <t>Email mới; Có chức vụ</t>
        </is>
      </c>
      <c r="L109" s="4" t="n"/>
      <c r="M109" s="5" t="n"/>
      <c r="N109" s="4" t="n"/>
    </row>
    <row r="110">
      <c r="A110" s="2" t="n">
        <v>109</v>
      </c>
      <c r="B110" s="2" t="inlineStr">
        <is>
          <t>TC109</t>
        </is>
      </c>
      <c r="C110" s="3" t="inlineStr">
        <is>
          <t>Sửa &amp; xoá tài khoản</t>
        </is>
      </c>
      <c r="D110" s="3" t="inlineStr">
        <is>
          <t>Token cũ bị từ chối sau khi đổi email</t>
        </is>
      </c>
      <c r="E110" s="2" t="inlineStr">
        <is>
          <t>GET</t>
        </is>
      </c>
      <c r="F110" s="3" t="inlineStr">
        <is>
          <t>/api/users/me</t>
        </is>
      </c>
      <c r="G110" s="3" t="inlineStr">
        <is>
          <t>Giáo viên</t>
        </is>
      </c>
      <c r="H110" s="3" t="inlineStr"/>
      <c r="I110" s="2" t="n">
        <v>401</v>
      </c>
      <c r="J110" s="2" t="n">
        <v>1104</v>
      </c>
      <c r="K110" s="3" t="inlineStr"/>
      <c r="L110" s="4" t="n"/>
      <c r="M110" s="5" t="n"/>
      <c r="N110" s="4" t="n"/>
    </row>
    <row r="111">
      <c r="A111" s="2" t="n">
        <v>110</v>
      </c>
      <c r="B111" s="2" t="inlineStr">
        <is>
          <t>TC110</t>
        </is>
      </c>
      <c r="C111" s="3" t="inlineStr">
        <is>
          <t>Sửa &amp; xoá tài khoản</t>
        </is>
      </c>
      <c r="D111" s="3" t="inlineStr">
        <is>
          <t>Giáo viên đăng nhập bằng email mới</t>
        </is>
      </c>
      <c r="E111" s="2" t="inlineStr">
        <is>
          <t>POST</t>
        </is>
      </c>
      <c r="F111" s="3" t="inlineStr">
        <is>
          <t>/api/auth/login</t>
        </is>
      </c>
      <c r="G111" s="3" t="inlineStr">
        <is>
          <t>Không token</t>
        </is>
      </c>
      <c r="H111" s="3" t="inlineStr">
        <is>
          <t>{"identifier": "{{teacherEmail}}", "password": "teacher123"}</t>
        </is>
      </c>
      <c r="I111" s="2" t="n">
        <v>200</v>
      </c>
      <c r="J111" s="2" t="n">
        <v>0</v>
      </c>
      <c r="K111" s="3" t="inlineStr"/>
      <c r="L111" s="4" t="n"/>
      <c r="M111" s="5" t="n"/>
      <c r="N111" s="4" t="n"/>
    </row>
    <row r="112">
      <c r="A112" s="2" t="n">
        <v>111</v>
      </c>
      <c r="B112" s="2" t="inlineStr">
        <is>
          <t>TC111</t>
        </is>
      </c>
      <c r="C112" s="3" t="inlineStr">
        <is>
          <t>Sửa &amp; xoá tài khoản</t>
        </is>
      </c>
      <c r="D112" s="3" t="inlineStr">
        <is>
          <t>Tự sửa họ tên của mình</t>
        </is>
      </c>
      <c r="E112" s="2" t="inlineStr">
        <is>
          <t>PUT</t>
        </is>
      </c>
      <c r="F112" s="3" t="inlineStr">
        <is>
          <t>/api/users/me</t>
        </is>
      </c>
      <c r="G112" s="3" t="inlineStr">
        <is>
          <t>Giáo viên</t>
        </is>
      </c>
      <c r="H112" s="3" t="inlineStr">
        <is>
          <t>{"fullName": "Lan Anh"}</t>
        </is>
      </c>
      <c r="I112" s="2" t="n">
        <v>200</v>
      </c>
      <c r="J112" s="2" t="n">
        <v>0</v>
      </c>
      <c r="K112" s="3" t="inlineStr">
        <is>
          <t>Tên mới</t>
        </is>
      </c>
      <c r="L112" s="4" t="n"/>
      <c r="M112" s="5" t="n"/>
      <c r="N112" s="4" t="n"/>
    </row>
    <row r="113">
      <c r="A113" s="2" t="n">
        <v>112</v>
      </c>
      <c r="B113" s="2" t="inlineStr">
        <is>
          <t>TC112</t>
        </is>
      </c>
      <c r="C113" s="3" t="inlineStr">
        <is>
          <t>Sửa &amp; xoá tài khoản</t>
        </is>
      </c>
      <c r="D113" s="3" t="inlineStr">
        <is>
          <t>Phó HT nâng giáo viên lên Phó HT (không được phép)</t>
        </is>
      </c>
      <c r="E113" s="2" t="inlineStr">
        <is>
          <t>PUT</t>
        </is>
      </c>
      <c r="F113" s="3" t="inlineStr">
        <is>
          <t>/api/management/users/{{teacherId}}/role</t>
        </is>
      </c>
      <c r="G113" s="3" t="inlineStr">
        <is>
          <t>Phó hiệu trưởng</t>
        </is>
      </c>
      <c r="H113" s="3" t="inlineStr">
        <is>
          <t>{"role": "VICE_PRINCIPAL"}</t>
        </is>
      </c>
      <c r="I113" s="2" t="n">
        <v>403</v>
      </c>
      <c r="J113" s="2" t="n">
        <v>1103</v>
      </c>
      <c r="K113" s="3" t="inlineStr"/>
      <c r="L113" s="4" t="n"/>
      <c r="M113" s="5" t="n"/>
      <c r="N113" s="4" t="n"/>
    </row>
    <row r="114">
      <c r="A114" s="2" t="n">
        <v>113</v>
      </c>
      <c r="B114" s="2" t="inlineStr">
        <is>
          <t>TC113</t>
        </is>
      </c>
      <c r="C114" s="3" t="inlineStr">
        <is>
          <t>Sửa &amp; xoá tài khoản</t>
        </is>
      </c>
      <c r="D114" s="3" t="inlineStr">
        <is>
          <t>Đổi role cho tài khoản chỉ là phụ huynh</t>
        </is>
      </c>
      <c r="E114" s="2" t="inlineStr">
        <is>
          <t>PUT</t>
        </is>
      </c>
      <c r="F114" s="3" t="inlineStr">
        <is>
          <t>/api/management/users/{{parentId}}/role</t>
        </is>
      </c>
      <c r="G114" s="3" t="inlineStr">
        <is>
          <t>Hiệu trưởng</t>
        </is>
      </c>
      <c r="H114" s="3" t="inlineStr">
        <is>
          <t>{"role": "TEACHER"}</t>
        </is>
      </c>
      <c r="I114" s="2" t="n">
        <v>400</v>
      </c>
      <c r="J114" s="2" t="n">
        <v>1213</v>
      </c>
      <c r="K114" s="3" t="inlineStr"/>
      <c r="L114" s="4" t="n"/>
      <c r="M114" s="5" t="n"/>
      <c r="N114" s="4" t="n"/>
    </row>
    <row r="115">
      <c r="A115" s="2" t="n">
        <v>114</v>
      </c>
      <c r="B115" s="2" t="inlineStr">
        <is>
          <t>TC114</t>
        </is>
      </c>
      <c r="C115" s="3" t="inlineStr">
        <is>
          <t>Sửa &amp; xoá tài khoản</t>
        </is>
      </c>
      <c r="D115" s="3" t="inlineStr">
        <is>
          <t>Tự đổi role của mình</t>
        </is>
      </c>
      <c r="E115" s="2" t="inlineStr">
        <is>
          <t>PUT</t>
        </is>
      </c>
      <c r="F115" s="3" t="inlineStr">
        <is>
          <t>/api/management/users/{{principalId}}/role</t>
        </is>
      </c>
      <c r="G115" s="3" t="inlineStr">
        <is>
          <t>Hiệu trưởng</t>
        </is>
      </c>
      <c r="H115" s="3" t="inlineStr">
        <is>
          <t>{"role": "TEACHER"}</t>
        </is>
      </c>
      <c r="I115" s="2" t="n">
        <v>400</v>
      </c>
      <c r="J115" s="2" t="n">
        <v>1214</v>
      </c>
      <c r="K115" s="3" t="inlineStr"/>
      <c r="L115" s="4" t="n"/>
      <c r="M115" s="5" t="n"/>
      <c r="N115" s="4" t="n"/>
    </row>
    <row r="116">
      <c r="A116" s="2" t="n">
        <v>115</v>
      </c>
      <c r="B116" s="2" t="inlineStr">
        <is>
          <t>TC115</t>
        </is>
      </c>
      <c r="C116" s="3" t="inlineStr">
        <is>
          <t>Sửa &amp; xoá tài khoản</t>
        </is>
      </c>
      <c r="D116" s="3" t="inlineStr">
        <is>
          <t>Đổi giáo viên thành nhân viên</t>
        </is>
      </c>
      <c r="E116" s="2" t="inlineStr">
        <is>
          <t>PUT</t>
        </is>
      </c>
      <c r="F116" s="3" t="inlineStr">
        <is>
          <t>/api/management/users/{{teacherId}}/role</t>
        </is>
      </c>
      <c r="G116" s="3" t="inlineStr">
        <is>
          <t>Phó hiệu trưởng</t>
        </is>
      </c>
      <c r="H116" s="3" t="inlineStr">
        <is>
          <t>{"role": "STAFF"}</t>
        </is>
      </c>
      <c r="I116" s="2" t="n">
        <v>200</v>
      </c>
      <c r="J116" s="2" t="n">
        <v>0</v>
      </c>
      <c r="K116" s="3" t="inlineStr">
        <is>
          <t>Chỉ còn STAFF</t>
        </is>
      </c>
      <c r="L116" s="4" t="n"/>
      <c r="M116" s="5" t="n"/>
      <c r="N116" s="4" t="n"/>
    </row>
    <row r="117">
      <c r="A117" s="2" t="n">
        <v>116</v>
      </c>
      <c r="B117" s="2" t="inlineStr">
        <is>
          <t>TC116</t>
        </is>
      </c>
      <c r="C117" s="3" t="inlineStr">
        <is>
          <t>Sửa &amp; xoá tài khoản</t>
        </is>
      </c>
      <c r="D117" s="3" t="inlineStr">
        <is>
          <t>Đổi lại thành giáo viên</t>
        </is>
      </c>
      <c r="E117" s="2" t="inlineStr">
        <is>
          <t>PUT</t>
        </is>
      </c>
      <c r="F117" s="3" t="inlineStr">
        <is>
          <t>/api/management/users/{{teacherId}}/role</t>
        </is>
      </c>
      <c r="G117" s="3" t="inlineStr">
        <is>
          <t>Phó hiệu trưởng</t>
        </is>
      </c>
      <c r="H117" s="3" t="inlineStr">
        <is>
          <t>{"role": "TEACHER"}</t>
        </is>
      </c>
      <c r="I117" s="2" t="n">
        <v>200</v>
      </c>
      <c r="J117" s="2" t="n">
        <v>0</v>
      </c>
      <c r="K117" s="3" t="inlineStr">
        <is>
          <t>TEACHER</t>
        </is>
      </c>
      <c r="L117" s="4" t="n"/>
      <c r="M117" s="5" t="n"/>
      <c r="N117" s="4" t="n"/>
    </row>
    <row r="118">
      <c r="A118" s="2" t="n">
        <v>117</v>
      </c>
      <c r="B118" s="2" t="inlineStr">
        <is>
          <t>TC117</t>
        </is>
      </c>
      <c r="C118" s="3" t="inlineStr">
        <is>
          <t>Sửa &amp; xoá tài khoản</t>
        </is>
      </c>
      <c r="D118" s="3" t="inlineStr">
        <is>
          <t>Giáo viên đăng nhập lại sau khi đổi role</t>
        </is>
      </c>
      <c r="E118" s="2" t="inlineStr">
        <is>
          <t>POST</t>
        </is>
      </c>
      <c r="F118" s="3" t="inlineStr">
        <is>
          <t>/api/auth/login</t>
        </is>
      </c>
      <c r="G118" s="3" t="inlineStr">
        <is>
          <t>Không token</t>
        </is>
      </c>
      <c r="H118" s="3" t="inlineStr">
        <is>
          <t>{"identifier": "{{teacherEmail}}", "password": "teacher123"}</t>
        </is>
      </c>
      <c r="I118" s="2" t="n">
        <v>200</v>
      </c>
      <c r="J118" s="2" t="n">
        <v>0</v>
      </c>
      <c r="K118" s="3" t="inlineStr"/>
      <c r="L118" s="4" t="n"/>
      <c r="M118" s="5" t="n"/>
      <c r="N118" s="4" t="n"/>
    </row>
    <row r="119">
      <c r="A119" s="2" t="n">
        <v>118</v>
      </c>
      <c r="B119" s="2" t="inlineStr">
        <is>
          <t>TC118</t>
        </is>
      </c>
      <c r="C119" s="3" t="inlineStr">
        <is>
          <t>Sửa &amp; xoá tài khoản</t>
        </is>
      </c>
      <c r="D119" s="3" t="inlineStr">
        <is>
          <t>Đặt mật khẩu tạm quá yếu</t>
        </is>
      </c>
      <c r="E119" s="2" t="inlineStr">
        <is>
          <t>POST</t>
        </is>
      </c>
      <c r="F119" s="3" t="inlineStr">
        <is>
          <t>/api/management/users/{{staffId}}/reset-password</t>
        </is>
      </c>
      <c r="G119" s="3" t="inlineStr">
        <is>
          <t>Phó hiệu trưởng</t>
        </is>
      </c>
      <c r="H119" s="3" t="inlineStr">
        <is>
          <t>{"password": "123"}</t>
        </is>
      </c>
      <c r="I119" s="2" t="n">
        <v>400</v>
      </c>
      <c r="J119" s="2" t="n">
        <v>1000</v>
      </c>
      <c r="K119" s="3" t="inlineStr"/>
      <c r="L119" s="4" t="n"/>
      <c r="M119" s="5" t="n"/>
      <c r="N119" s="4" t="n"/>
    </row>
    <row r="120">
      <c r="A120" s="2" t="n">
        <v>119</v>
      </c>
      <c r="B120" s="2" t="inlineStr">
        <is>
          <t>TC119</t>
        </is>
      </c>
      <c r="C120" s="3" t="inlineStr">
        <is>
          <t>Sửa &amp; xoá tài khoản</t>
        </is>
      </c>
      <c r="D120" s="3" t="inlineStr">
        <is>
          <t>BGH đặt mật khẩu tạm cho nhân viên</t>
        </is>
      </c>
      <c r="E120" s="2" t="inlineStr">
        <is>
          <t>POST</t>
        </is>
      </c>
      <c r="F120" s="3" t="inlineStr">
        <is>
          <t>/api/management/users/{{staffId}}/reset-password</t>
        </is>
      </c>
      <c r="G120" s="3" t="inlineStr">
        <is>
          <t>Phó hiệu trưởng</t>
        </is>
      </c>
      <c r="H120" s="3" t="inlineStr">
        <is>
          <t>{"password": "temp1234"}</t>
        </is>
      </c>
      <c r="I120" s="2" t="n">
        <v>200</v>
      </c>
      <c r="J120" s="2" t="n">
        <v>0</v>
      </c>
      <c r="K120" s="3" t="inlineStr"/>
      <c r="L120" s="4" t="n"/>
      <c r="M120" s="5" t="n"/>
      <c r="N120" s="4" t="n"/>
    </row>
    <row r="121">
      <c r="A121" s="2" t="n">
        <v>120</v>
      </c>
      <c r="B121" s="2" t="inlineStr">
        <is>
          <t>TC120</t>
        </is>
      </c>
      <c r="C121" s="3" t="inlineStr">
        <is>
          <t>Sửa &amp; xoá tài khoản</t>
        </is>
      </c>
      <c r="D121" s="3" t="inlineStr">
        <is>
          <t>Nhân viên đăng nhập bằng mật khẩu tạm</t>
        </is>
      </c>
      <c r="E121" s="2" t="inlineStr">
        <is>
          <t>POST</t>
        </is>
      </c>
      <c r="F121" s="3" t="inlineStr">
        <is>
          <t>/api/auth/login</t>
        </is>
      </c>
      <c r="G121" s="3" t="inlineStr">
        <is>
          <t>Không token</t>
        </is>
      </c>
      <c r="H121" s="3" t="inlineStr">
        <is>
          <t>{"identifier": "{{staffEmail}}", "password": "temp1234"}</t>
        </is>
      </c>
      <c r="I121" s="2" t="n">
        <v>200</v>
      </c>
      <c r="J121" s="2" t="n">
        <v>0</v>
      </c>
      <c r="K121" s="3" t="inlineStr">
        <is>
          <t>Bắt đổi mật khẩu</t>
        </is>
      </c>
      <c r="L121" s="4" t="n"/>
      <c r="M121" s="5" t="n"/>
      <c r="N121" s="4" t="n"/>
    </row>
    <row r="122">
      <c r="A122" s="2" t="n">
        <v>121</v>
      </c>
      <c r="B122" s="2" t="inlineStr">
        <is>
          <t>TC121</t>
        </is>
      </c>
      <c r="C122" s="3" t="inlineStr">
        <is>
          <t>Sửa &amp; xoá tài khoản</t>
        </is>
      </c>
      <c r="D122" s="3" t="inlineStr">
        <is>
          <t>Tạo nhầm tài khoản</t>
        </is>
      </c>
      <c r="E122" s="2" t="inlineStr">
        <is>
          <t>POST</t>
        </is>
      </c>
      <c r="F122" s="3" t="inlineStr">
        <is>
          <t>/api/management/staff</t>
        </is>
      </c>
      <c r="G122" s="3" t="inlineStr">
        <is>
          <t>Phó hiệu trưởng</t>
        </is>
      </c>
      <c r="H122" s="3" t="inlineStr">
        <is>
          <t>{"email": "nham{{runId}}@gmail.com", "fullName": "Tạo nhầm", "password": "abc12345", "role": "STAFF"}</t>
        </is>
      </c>
      <c r="I122" s="2" t="n">
        <v>201</v>
      </c>
      <c r="J122" s="2" t="n">
        <v>0</v>
      </c>
      <c r="K122" s="3" t="inlineStr"/>
      <c r="L122" s="4" t="n"/>
      <c r="M122" s="5" t="n"/>
      <c r="N122" s="4" t="n"/>
    </row>
    <row r="123">
      <c r="A123" s="2" t="n">
        <v>122</v>
      </c>
      <c r="B123" s="2" t="inlineStr">
        <is>
          <t>TC122</t>
        </is>
      </c>
      <c r="C123" s="3" t="inlineStr">
        <is>
          <t>Sửa &amp; xoá tài khoản</t>
        </is>
      </c>
      <c r="D123" s="3" t="inlineStr">
        <is>
          <t>Xoá tài khoản tạo nhầm (chưa dùng)</t>
        </is>
      </c>
      <c r="E123" s="2" t="inlineStr">
        <is>
          <t>DELETE</t>
        </is>
      </c>
      <c r="F123" s="3" t="inlineStr">
        <is>
          <t>/api/management/users/{{mistakeId}}</t>
        </is>
      </c>
      <c r="G123" s="3" t="inlineStr">
        <is>
          <t>Phó hiệu trưởng</t>
        </is>
      </c>
      <c r="H123" s="3" t="inlineStr"/>
      <c r="I123" s="2" t="n">
        <v>200</v>
      </c>
      <c r="J123" s="2" t="n">
        <v>0</v>
      </c>
      <c r="K123" s="3" t="inlineStr"/>
      <c r="L123" s="4" t="n"/>
      <c r="M123" s="5" t="n"/>
      <c r="N123" s="4" t="n"/>
    </row>
    <row r="124">
      <c r="A124" s="2" t="n">
        <v>123</v>
      </c>
      <c r="B124" s="2" t="inlineStr">
        <is>
          <t>TC123</t>
        </is>
      </c>
      <c r="C124" s="3" t="inlineStr">
        <is>
          <t>Sửa &amp; xoá tài khoản</t>
        </is>
      </c>
      <c r="D124" s="3" t="inlineStr">
        <is>
          <t>Xem tài khoản đã xoá</t>
        </is>
      </c>
      <c r="E124" s="2" t="inlineStr">
        <is>
          <t>GET</t>
        </is>
      </c>
      <c r="F124" s="3" t="inlineStr">
        <is>
          <t>/api/management/users/{{mistakeId}}</t>
        </is>
      </c>
      <c r="G124" s="3" t="inlineStr">
        <is>
          <t>Phó hiệu trưởng</t>
        </is>
      </c>
      <c r="H124" s="3" t="inlineStr"/>
      <c r="I124" s="2" t="n">
        <v>404</v>
      </c>
      <c r="J124" s="2" t="n">
        <v>1203</v>
      </c>
      <c r="K124" s="3" t="inlineStr"/>
      <c r="L124" s="4" t="n"/>
      <c r="M124" s="5" t="n"/>
      <c r="N124" s="4" t="n"/>
    </row>
    <row r="125">
      <c r="A125" s="2" t="n">
        <v>124</v>
      </c>
      <c r="B125" s="2" t="inlineStr">
        <is>
          <t>TC124</t>
        </is>
      </c>
      <c r="C125" s="3" t="inlineStr">
        <is>
          <t>Sửa &amp; xoá tài khoản</t>
        </is>
      </c>
      <c r="D125" s="3" t="inlineStr">
        <is>
          <t>Xoá tài khoản đã đăng nhập (phải khoá thay vì xoá)</t>
        </is>
      </c>
      <c r="E125" s="2" t="inlineStr">
        <is>
          <t>DELETE</t>
        </is>
      </c>
      <c r="F125" s="3" t="inlineStr">
        <is>
          <t>/api/management/users/{{teacherId}}</t>
        </is>
      </c>
      <c r="G125" s="3" t="inlineStr">
        <is>
          <t>Phó hiệu trưởng</t>
        </is>
      </c>
      <c r="H125" s="3" t="inlineStr"/>
      <c r="I125" s="2" t="n">
        <v>409</v>
      </c>
      <c r="J125" s="2" t="n">
        <v>1210</v>
      </c>
      <c r="K125" s="3" t="inlineStr"/>
      <c r="L125" s="4" t="n"/>
      <c r="M125" s="5" t="n"/>
      <c r="N125" s="4" t="n"/>
    </row>
    <row r="126">
      <c r="A126" s="2" t="n">
        <v>125</v>
      </c>
      <c r="B126" s="2" t="inlineStr">
        <is>
          <t>TC125</t>
        </is>
      </c>
      <c r="C126" s="3" t="inlineStr">
        <is>
          <t>Sửa &amp; xoá tài khoản</t>
        </is>
      </c>
      <c r="D126" s="3" t="inlineStr">
        <is>
          <t>Xoá phụ huynh đang có con</t>
        </is>
      </c>
      <c r="E126" s="2" t="inlineStr">
        <is>
          <t>DELETE</t>
        </is>
      </c>
      <c r="F126" s="3" t="inlineStr">
        <is>
          <t>/api/management/users/{{parentId}}</t>
        </is>
      </c>
      <c r="G126" s="3" t="inlineStr">
        <is>
          <t>Hiệu trưởng</t>
        </is>
      </c>
      <c r="H126" s="3" t="inlineStr"/>
      <c r="I126" s="2" t="n">
        <v>409</v>
      </c>
      <c r="J126" s="2" t="n">
        <v>1210</v>
      </c>
      <c r="K126" s="3" t="inlineStr"/>
      <c r="L126" s="4" t="n"/>
      <c r="M126" s="5" t="n"/>
      <c r="N126" s="4" t="n"/>
    </row>
    <row r="127">
      <c r="A127" s="2" t="n">
        <v>126</v>
      </c>
      <c r="B127" s="2" t="inlineStr">
        <is>
          <t>TC126</t>
        </is>
      </c>
      <c r="C127" s="3" t="inlineStr">
        <is>
          <t>Sửa &amp; xoá tài khoản</t>
        </is>
      </c>
      <c r="D127" s="3" t="inlineStr">
        <is>
          <t>Phó HT xoá Hiệu trưởng (không được phép)</t>
        </is>
      </c>
      <c r="E127" s="2" t="inlineStr">
        <is>
          <t>DELETE</t>
        </is>
      </c>
      <c r="F127" s="3" t="inlineStr">
        <is>
          <t>/api/management/users/{{principalId}}</t>
        </is>
      </c>
      <c r="G127" s="3" t="inlineStr">
        <is>
          <t>Phó hiệu trưởng</t>
        </is>
      </c>
      <c r="H127" s="3" t="inlineStr"/>
      <c r="I127" s="2" t="n">
        <v>403</v>
      </c>
      <c r="J127" s="2" t="n">
        <v>1103</v>
      </c>
      <c r="K127" s="3" t="inlineStr"/>
      <c r="L127" s="4" t="n"/>
      <c r="M127" s="5" t="n"/>
      <c r="N127" s="4" t="n"/>
    </row>
    <row r="128">
      <c r="A128" s="2" t="n">
        <v>127</v>
      </c>
      <c r="B128" s="2" t="inlineStr">
        <is>
          <t>TC127</t>
        </is>
      </c>
      <c r="C128" s="3" t="inlineStr">
        <is>
          <t>Quản lý trẻ</t>
        </is>
      </c>
      <c r="D128" s="3" t="inlineStr">
        <is>
          <t>Danh sách trẻ tìm theo SĐT phụ huynh</t>
        </is>
      </c>
      <c r="E128" s="2" t="inlineStr">
        <is>
          <t>GET</t>
        </is>
      </c>
      <c r="F128" s="3" t="inlineStr">
        <is>
          <t>/api/management/children?keyword={{parentPhone}}</t>
        </is>
      </c>
      <c r="G128" s="3" t="inlineStr">
        <is>
          <t>Phó hiệu trưởng</t>
        </is>
      </c>
      <c r="H128" s="3" t="inlineStr"/>
      <c r="I128" s="2" t="n">
        <v>200</v>
      </c>
      <c r="J128" s="2" t="n">
        <v>0</v>
      </c>
      <c r="K128" s="3" t="inlineStr">
        <is>
          <t>2 trẻ</t>
        </is>
      </c>
      <c r="L128" s="4" t="n"/>
      <c r="M128" s="5" t="n"/>
      <c r="N128" s="4" t="n"/>
    </row>
    <row r="129">
      <c r="A129" s="2" t="n">
        <v>128</v>
      </c>
      <c r="B129" s="2" t="inlineStr">
        <is>
          <t>TC128</t>
        </is>
      </c>
      <c r="C129" s="3" t="inlineStr">
        <is>
          <t>Quản lý trẻ</t>
        </is>
      </c>
      <c r="D129" s="3" t="inlineStr">
        <is>
          <t>Chi tiết trẻ kèm người đón</t>
        </is>
      </c>
      <c r="E129" s="2" t="inlineStr">
        <is>
          <t>GET</t>
        </is>
      </c>
      <c r="F129" s="3" t="inlineStr">
        <is>
          <t>/api/management/children/{{childId}}</t>
        </is>
      </c>
      <c r="G129" s="3" t="inlineStr">
        <is>
          <t>Phó hiệu trưởng</t>
        </is>
      </c>
      <c r="H129" s="3" t="inlineStr"/>
      <c r="I129" s="2" t="n">
        <v>200</v>
      </c>
      <c r="J129" s="2" t="n">
        <v>0</v>
      </c>
      <c r="K129" s="3" t="inlineStr">
        <is>
          <t>Có thông tin trẻ; Có danh sách người đón</t>
        </is>
      </c>
      <c r="L129" s="4" t="n"/>
      <c r="M129" s="5" t="n"/>
      <c r="N129" s="4" t="n"/>
    </row>
    <row r="130">
      <c r="A130" s="2" t="n">
        <v>129</v>
      </c>
      <c r="B130" s="2" t="inlineStr">
        <is>
          <t>TC129</t>
        </is>
      </c>
      <c r="C130" s="3" t="inlineStr">
        <is>
          <t>Quản lý trẻ</t>
        </is>
      </c>
      <c r="D130" s="3" t="inlineStr">
        <is>
          <t>Sửa thông tin trẻ</t>
        </is>
      </c>
      <c r="E130" s="2" t="inlineStr">
        <is>
          <t>PUT</t>
        </is>
      </c>
      <c r="F130" s="3" t="inlineStr">
        <is>
          <t>/api/management/children/{{childId}}</t>
        </is>
      </c>
      <c r="G130" s="3" t="inlineStr">
        <is>
          <t>Phó hiệu trưởng</t>
        </is>
      </c>
      <c r="H130" s="3" t="inlineStr">
        <is>
          <t>{"childName": "Bé Na Na", "dateOfBirth": "2022-06-01"}</t>
        </is>
      </c>
      <c r="I130" s="2" t="n">
        <v>200</v>
      </c>
      <c r="J130" s="2" t="n">
        <v>0</v>
      </c>
      <c r="K130" s="3" t="inlineStr">
        <is>
          <t>Tên mới</t>
        </is>
      </c>
      <c r="L130" s="4" t="n"/>
      <c r="M130" s="5" t="n"/>
      <c r="N130" s="4" t="n"/>
    </row>
    <row r="131">
      <c r="A131" s="2" t="n">
        <v>130</v>
      </c>
      <c r="B131" s="2" t="inlineStr">
        <is>
          <t>TC130</t>
        </is>
      </c>
      <c r="C131" s="3" t="inlineStr">
        <is>
          <t>Quản lý trẻ</t>
        </is>
      </c>
      <c r="D131" s="3" t="inlineStr">
        <is>
          <t>Sửa trẻ ngày sinh ở tương lai</t>
        </is>
      </c>
      <c r="E131" s="2" t="inlineStr">
        <is>
          <t>PUT</t>
        </is>
      </c>
      <c r="F131" s="3" t="inlineStr">
        <is>
          <t>/api/management/children/{{childId}}</t>
        </is>
      </c>
      <c r="G131" s="3" t="inlineStr">
        <is>
          <t>Phó hiệu trưởng</t>
        </is>
      </c>
      <c r="H131" s="3" t="inlineStr">
        <is>
          <t>{"childName": "Bé Na", "dateOfBirth": "2999-01-01"}</t>
        </is>
      </c>
      <c r="I131" s="2" t="n">
        <v>400</v>
      </c>
      <c r="J131" s="2" t="n">
        <v>1000</v>
      </c>
      <c r="K131" s="3" t="inlineStr"/>
      <c r="L131" s="4" t="n"/>
      <c r="M131" s="5" t="n"/>
      <c r="N131" s="4" t="n"/>
    </row>
    <row r="132">
      <c r="A132" s="2" t="n">
        <v>131</v>
      </c>
      <c r="B132" s="2" t="inlineStr">
        <is>
          <t>TC131</t>
        </is>
      </c>
      <c r="C132" s="3" t="inlineStr">
        <is>
          <t>Quản lý trẻ</t>
        </is>
      </c>
      <c r="D132" s="3" t="inlineStr">
        <is>
          <t>Chuyển trẻ sang phụ huynh khác (nhập nhầm SĐT)</t>
        </is>
      </c>
      <c r="E132" s="2" t="inlineStr">
        <is>
          <t>PUT</t>
        </is>
      </c>
      <c r="F132" s="3" t="inlineStr">
        <is>
          <t>/api/management/children/{{child2Id}}/parent</t>
        </is>
      </c>
      <c r="G132" s="3" t="inlineStr">
        <is>
          <t>Phó hiệu trưởng</t>
        </is>
      </c>
      <c r="H132" s="3" t="inlineStr">
        <is>
          <t>{"parentPhone": "{{otherParentPhone}}", "parentName": "Anh Tùng"}</t>
        </is>
      </c>
      <c r="I132" s="2" t="n">
        <v>200</v>
      </c>
      <c r="J132" s="2" t="n">
        <v>0</v>
      </c>
      <c r="K132" s="3" t="inlineStr">
        <is>
          <t>Gắn vào phụ huynh đã có; Người đón của trẻ phải được duyệt lại</t>
        </is>
      </c>
      <c r="L132" s="4" t="n"/>
      <c r="M132" s="5" t="n"/>
      <c r="N132" s="4" t="n"/>
    </row>
    <row r="133">
      <c r="A133" s="2" t="n">
        <v>132</v>
      </c>
      <c r="B133" s="2" t="inlineStr">
        <is>
          <t>TC132</t>
        </is>
      </c>
      <c r="C133" s="3" t="inlineStr">
        <is>
          <t>Quản lý trẻ</t>
        </is>
      </c>
      <c r="D133" s="3" t="inlineStr">
        <is>
          <t>Phụ huynh cũ chỉ còn 1 con</t>
        </is>
      </c>
      <c r="E133" s="2" t="inlineStr">
        <is>
          <t>GET</t>
        </is>
      </c>
      <c r="F133" s="3" t="inlineStr">
        <is>
          <t>/api/parent/children</t>
        </is>
      </c>
      <c r="G133" s="3" t="inlineStr">
        <is>
          <t>Phụ huynh</t>
        </is>
      </c>
      <c r="H133" s="3" t="inlineStr"/>
      <c r="I133" s="2" t="n">
        <v>200</v>
      </c>
      <c r="J133" s="2" t="n">
        <v>0</v>
      </c>
      <c r="K133" s="3" t="inlineStr">
        <is>
          <t>1 trẻ</t>
        </is>
      </c>
      <c r="L133" s="4" t="n"/>
      <c r="M133" s="5" t="n"/>
      <c r="N133" s="4" t="n"/>
    </row>
    <row r="134">
      <c r="A134" s="2" t="n">
        <v>133</v>
      </c>
      <c r="B134" s="2" t="inlineStr">
        <is>
          <t>TC133</t>
        </is>
      </c>
      <c r="C134" s="3" t="inlineStr">
        <is>
          <t>Quản lý trẻ</t>
        </is>
      </c>
      <c r="D134" s="3" t="inlineStr">
        <is>
          <t>Xem trẻ không tồn tại</t>
        </is>
      </c>
      <c r="E134" s="2" t="inlineStr">
        <is>
          <t>GET</t>
        </is>
      </c>
      <c r="F134" s="3" t="inlineStr">
        <is>
          <t>/api/management/children/999999</t>
        </is>
      </c>
      <c r="G134" s="3" t="inlineStr">
        <is>
          <t>Phó hiệu trưởng</t>
        </is>
      </c>
      <c r="H134" s="3" t="inlineStr"/>
      <c r="I134" s="2" t="n">
        <v>404</v>
      </c>
      <c r="J134" s="2" t="n">
        <v>1500</v>
      </c>
      <c r="K134" s="3" t="inlineStr"/>
      <c r="L134" s="4" t="n"/>
      <c r="M134" s="5" t="n"/>
      <c r="N134" s="4" t="n"/>
    </row>
    <row r="135">
      <c r="A135" s="2" t="n">
        <v>134</v>
      </c>
      <c r="B135" s="2" t="inlineStr">
        <is>
          <t>TC134</t>
        </is>
      </c>
      <c r="C135" s="3" t="inlineStr">
        <is>
          <t>Đăng xuất</t>
        </is>
      </c>
      <c r="D135" s="3" t="inlineStr">
        <is>
          <t>Giáo viên đăng xuất</t>
        </is>
      </c>
      <c r="E135" s="2" t="inlineStr">
        <is>
          <t>POST</t>
        </is>
      </c>
      <c r="F135" s="3" t="inlineStr">
        <is>
          <t>/api/auth/logout</t>
        </is>
      </c>
      <c r="G135" s="3" t="inlineStr">
        <is>
          <t>Giáo viên</t>
        </is>
      </c>
      <c r="H135" s="3" t="inlineStr">
        <is>
          <t>{"refreshToken": "{{teacherRefresh}}"}</t>
        </is>
      </c>
      <c r="I135" s="2" t="n">
        <v>200</v>
      </c>
      <c r="J135" s="2" t="n">
        <v>0</v>
      </c>
      <c r="K135" s="3" t="inlineStr"/>
      <c r="L135" s="4" t="n"/>
      <c r="M135" s="5" t="n"/>
      <c r="N135" s="4" t="n"/>
    </row>
    <row r="136">
      <c r="A136" s="2" t="n">
        <v>135</v>
      </c>
      <c r="B136" s="2" t="inlineStr">
        <is>
          <t>TC135</t>
        </is>
      </c>
      <c r="C136" s="3" t="inlineStr">
        <is>
          <t>Đăng xuất</t>
        </is>
      </c>
      <c r="D136" s="3" t="inlineStr">
        <is>
          <t>Dùng access token sau khi đăng xuất</t>
        </is>
      </c>
      <c r="E136" s="2" t="inlineStr">
        <is>
          <t>GET</t>
        </is>
      </c>
      <c r="F136" s="3" t="inlineStr">
        <is>
          <t>/api/users/me</t>
        </is>
      </c>
      <c r="G136" s="3" t="inlineStr">
        <is>
          <t>Giáo viên</t>
        </is>
      </c>
      <c r="H136" s="3" t="inlineStr"/>
      <c r="I136" s="2" t="n">
        <v>401</v>
      </c>
      <c r="J136" s="2" t="n">
        <v>1104</v>
      </c>
      <c r="K136" s="3" t="inlineStr"/>
      <c r="L136" s="4" t="n"/>
      <c r="M136" s="5" t="n"/>
      <c r="N136" s="4" t="n"/>
    </row>
    <row r="137">
      <c r="A137" s="2" t="n">
        <v>136</v>
      </c>
      <c r="B137" s="2" t="inlineStr">
        <is>
          <t>TC136</t>
        </is>
      </c>
      <c r="C137" s="3" t="inlineStr">
        <is>
          <t>Đăng xuất</t>
        </is>
      </c>
      <c r="D137" s="3" t="inlineStr">
        <is>
          <t>Dùng refresh token sau khi đăng xuất</t>
        </is>
      </c>
      <c r="E137" s="2" t="inlineStr">
        <is>
          <t>POST</t>
        </is>
      </c>
      <c r="F137" s="3" t="inlineStr">
        <is>
          <t>/api/auth/refresh-token</t>
        </is>
      </c>
      <c r="G137" s="3" t="inlineStr">
        <is>
          <t>Không token</t>
        </is>
      </c>
      <c r="H137" s="3" t="inlineStr">
        <is>
          <t>{"refreshToken": "{{teacherRefresh}}"}</t>
        </is>
      </c>
      <c r="I137" s="2" t="n">
        <v>401</v>
      </c>
      <c r="J137" s="2" t="n">
        <v>1104</v>
      </c>
      <c r="K137" s="3" t="inlineStr"/>
      <c r="L137" s="4" t="n"/>
      <c r="M137" s="5" t="n"/>
      <c r="N137" s="4" t="n"/>
    </row>
  </sheetData>
  <autoFilter ref="A1:N137"/>
  <dataValidations count="1">
    <dataValidation sqref="M2:M137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Tổng hợp kết quả test</t>
        </is>
      </c>
    </row>
    <row r="2">
      <c r="A2" s="7" t="inlineStr">
        <is>
          <t>Ô vàng ở sheet 'Test cases' (Kết quả thực tế, Trạng thái, Ghi chú) là ô cần điền; bảng dưới tự tính.</t>
        </is>
      </c>
    </row>
    <row r="4">
      <c r="A4" s="8" t="inlineStr">
        <is>
          <t>Chức năng</t>
        </is>
      </c>
      <c r="B4" s="8" t="inlineStr">
        <is>
          <t>Tổng</t>
        </is>
      </c>
      <c r="C4" s="8" t="inlineStr">
        <is>
          <t>Pass</t>
        </is>
      </c>
      <c r="D4" s="8" t="inlineStr">
        <is>
          <t>Fail</t>
        </is>
      </c>
      <c r="E4" s="8" t="inlineStr">
        <is>
          <t>Blocked</t>
        </is>
      </c>
      <c r="F4" s="8" t="inlineStr">
        <is>
          <t>Not run</t>
        </is>
      </c>
    </row>
    <row r="5">
      <c r="A5" s="9" t="inlineStr">
        <is>
          <t>Đăng nhập &amp; token</t>
        </is>
      </c>
      <c r="B5" s="9">
        <f>COUNTIF('Test cases'!$C$2:$C$137,A5)</f>
        <v/>
      </c>
      <c r="C5" s="9">
        <f>COUNTIFS('Test cases'!$C$2:$C$137,A5,'Test cases'!$M$2:$M$137,"Pass")</f>
        <v/>
      </c>
      <c r="D5" s="9">
        <f>COUNTIFS('Test cases'!$C$2:$C$137,A5,'Test cases'!$M$2:$M$137,"Fail")</f>
        <v/>
      </c>
      <c r="E5" s="9">
        <f>COUNTIFS('Test cases'!$C$2:$C$137,A5,'Test cases'!$M$2:$M$137,"Blocked")</f>
        <v/>
      </c>
      <c r="F5" s="9">
        <f>B5-C5-D5-E5</f>
        <v/>
      </c>
    </row>
    <row r="6">
      <c r="A6" s="9" t="inlineStr">
        <is>
          <t>Quản lý tài khoản</t>
        </is>
      </c>
      <c r="B6" s="9">
        <f>COUNTIF('Test cases'!$C$2:$C$137,A6)</f>
        <v/>
      </c>
      <c r="C6" s="9">
        <f>COUNTIFS('Test cases'!$C$2:$C$137,A6,'Test cases'!$M$2:$M$137,"Pass")</f>
        <v/>
      </c>
      <c r="D6" s="9">
        <f>COUNTIFS('Test cases'!$C$2:$C$137,A6,'Test cases'!$M$2:$M$137,"Fail")</f>
        <v/>
      </c>
      <c r="E6" s="9">
        <f>COUNTIFS('Test cases'!$C$2:$C$137,A6,'Test cases'!$M$2:$M$137,"Blocked")</f>
        <v/>
      </c>
      <c r="F6" s="9">
        <f>B6-C6-D6-E6</f>
        <v/>
      </c>
    </row>
    <row r="7">
      <c r="A7" s="9" t="inlineStr">
        <is>
          <t>Trẻ &amp; ảnh trẻ</t>
        </is>
      </c>
      <c r="B7" s="9">
        <f>COUNTIF('Test cases'!$C$2:$C$137,A7)</f>
        <v/>
      </c>
      <c r="C7" s="9">
        <f>COUNTIFS('Test cases'!$C$2:$C$137,A7,'Test cases'!$M$2:$M$137,"Pass")</f>
        <v/>
      </c>
      <c r="D7" s="9">
        <f>COUNTIFS('Test cases'!$C$2:$C$137,A7,'Test cases'!$M$2:$M$137,"Fail")</f>
        <v/>
      </c>
      <c r="E7" s="9">
        <f>COUNTIFS('Test cases'!$C$2:$C$137,A7,'Test cases'!$M$2:$M$137,"Blocked")</f>
        <v/>
      </c>
      <c r="F7" s="9">
        <f>B7-C7-D7-E7</f>
        <v/>
      </c>
    </row>
    <row r="8">
      <c r="A8" s="9" t="inlineStr">
        <is>
          <t>Mật khẩu</t>
        </is>
      </c>
      <c r="B8" s="9">
        <f>COUNTIF('Test cases'!$C$2:$C$137,A8)</f>
        <v/>
      </c>
      <c r="C8" s="9">
        <f>COUNTIFS('Test cases'!$C$2:$C$137,A8,'Test cases'!$M$2:$M$137,"Pass")</f>
        <v/>
      </c>
      <c r="D8" s="9">
        <f>COUNTIFS('Test cases'!$C$2:$C$137,A8,'Test cases'!$M$2:$M$137,"Fail")</f>
        <v/>
      </c>
      <c r="E8" s="9">
        <f>COUNTIFS('Test cases'!$C$2:$C$137,A8,'Test cases'!$M$2:$M$137,"Blocked")</f>
        <v/>
      </c>
      <c r="F8" s="9">
        <f>B8-C8-D8-E8</f>
        <v/>
      </c>
    </row>
    <row r="9">
      <c r="A9" s="9" t="inlineStr">
        <is>
          <t>Ảnh của tôi</t>
        </is>
      </c>
      <c r="B9" s="9">
        <f>COUNTIF('Test cases'!$C$2:$C$137,A9)</f>
        <v/>
      </c>
      <c r="C9" s="9">
        <f>COUNTIFS('Test cases'!$C$2:$C$137,A9,'Test cases'!$M$2:$M$137,"Pass")</f>
        <v/>
      </c>
      <c r="D9" s="9">
        <f>COUNTIFS('Test cases'!$C$2:$C$137,A9,'Test cases'!$M$2:$M$137,"Fail")</f>
        <v/>
      </c>
      <c r="E9" s="9">
        <f>COUNTIFS('Test cases'!$C$2:$C$137,A9,'Test cases'!$M$2:$M$137,"Blocked")</f>
        <v/>
      </c>
      <c r="F9" s="9">
        <f>B9-C9-D9-E9</f>
        <v/>
      </c>
    </row>
    <row r="10">
      <c r="A10" s="9" t="inlineStr">
        <is>
          <t>Người đón trẻ</t>
        </is>
      </c>
      <c r="B10" s="9">
        <f>COUNTIF('Test cases'!$C$2:$C$137,A10)</f>
        <v/>
      </c>
      <c r="C10" s="9">
        <f>COUNTIFS('Test cases'!$C$2:$C$137,A10,'Test cases'!$M$2:$M$137,"Pass")</f>
        <v/>
      </c>
      <c r="D10" s="9">
        <f>COUNTIFS('Test cases'!$C$2:$C$137,A10,'Test cases'!$M$2:$M$137,"Fail")</f>
        <v/>
      </c>
      <c r="E10" s="9">
        <f>COUNTIFS('Test cases'!$C$2:$C$137,A10,'Test cases'!$M$2:$M$137,"Blocked")</f>
        <v/>
      </c>
      <c r="F10" s="9">
        <f>B10-C10-D10-E10</f>
        <v/>
      </c>
    </row>
    <row r="11">
      <c r="A11" s="9" t="inlineStr">
        <is>
          <t>Khoá tài khoản</t>
        </is>
      </c>
      <c r="B11" s="9">
        <f>COUNTIF('Test cases'!$C$2:$C$137,A11)</f>
        <v/>
      </c>
      <c r="C11" s="9">
        <f>COUNTIFS('Test cases'!$C$2:$C$137,A11,'Test cases'!$M$2:$M$137,"Pass")</f>
        <v/>
      </c>
      <c r="D11" s="9">
        <f>COUNTIFS('Test cases'!$C$2:$C$137,A11,'Test cases'!$M$2:$M$137,"Fail")</f>
        <v/>
      </c>
      <c r="E11" s="9">
        <f>COUNTIFS('Test cases'!$C$2:$C$137,A11,'Test cases'!$M$2:$M$137,"Blocked")</f>
        <v/>
      </c>
      <c r="F11" s="9">
        <f>B11-C11-D11-E11</f>
        <v/>
      </c>
    </row>
    <row r="12">
      <c r="A12" s="9" t="inlineStr">
        <is>
          <t>Sửa &amp; xoá tài khoản</t>
        </is>
      </c>
      <c r="B12" s="9">
        <f>COUNTIF('Test cases'!$C$2:$C$137,A12)</f>
        <v/>
      </c>
      <c r="C12" s="9">
        <f>COUNTIFS('Test cases'!$C$2:$C$137,A12,'Test cases'!$M$2:$M$137,"Pass")</f>
        <v/>
      </c>
      <c r="D12" s="9">
        <f>COUNTIFS('Test cases'!$C$2:$C$137,A12,'Test cases'!$M$2:$M$137,"Fail")</f>
        <v/>
      </c>
      <c r="E12" s="9">
        <f>COUNTIFS('Test cases'!$C$2:$C$137,A12,'Test cases'!$M$2:$M$137,"Blocked")</f>
        <v/>
      </c>
      <c r="F12" s="9">
        <f>B12-C12-D12-E12</f>
        <v/>
      </c>
    </row>
    <row r="13">
      <c r="A13" s="9" t="inlineStr">
        <is>
          <t>Quản lý trẻ</t>
        </is>
      </c>
      <c r="B13" s="9">
        <f>COUNTIF('Test cases'!$C$2:$C$137,A13)</f>
        <v/>
      </c>
      <c r="C13" s="9">
        <f>COUNTIFS('Test cases'!$C$2:$C$137,A13,'Test cases'!$M$2:$M$137,"Pass")</f>
        <v/>
      </c>
      <c r="D13" s="9">
        <f>COUNTIFS('Test cases'!$C$2:$C$137,A13,'Test cases'!$M$2:$M$137,"Fail")</f>
        <v/>
      </c>
      <c r="E13" s="9">
        <f>COUNTIFS('Test cases'!$C$2:$C$137,A13,'Test cases'!$M$2:$M$137,"Blocked")</f>
        <v/>
      </c>
      <c r="F13" s="9">
        <f>B13-C13-D13-E13</f>
        <v/>
      </c>
    </row>
    <row r="14">
      <c r="A14" s="9" t="inlineStr">
        <is>
          <t>Đăng xuất</t>
        </is>
      </c>
      <c r="B14" s="9">
        <f>COUNTIF('Test cases'!$C$2:$C$137,A14)</f>
        <v/>
      </c>
      <c r="C14" s="9">
        <f>COUNTIFS('Test cases'!$C$2:$C$137,A14,'Test cases'!$M$2:$M$137,"Pass")</f>
        <v/>
      </c>
      <c r="D14" s="9">
        <f>COUNTIFS('Test cases'!$C$2:$C$137,A14,'Test cases'!$M$2:$M$137,"Fail")</f>
        <v/>
      </c>
      <c r="E14" s="9">
        <f>COUNTIFS('Test cases'!$C$2:$C$137,A14,'Test cases'!$M$2:$M$137,"Blocked")</f>
        <v/>
      </c>
      <c r="F14" s="9">
        <f>B14-C14-D14-E14</f>
        <v/>
      </c>
    </row>
    <row r="15">
      <c r="A15" s="10" t="inlineStr">
        <is>
          <t>Tổng</t>
        </is>
      </c>
      <c r="B15" s="10">
        <f>SUM(B5:B14)</f>
        <v/>
      </c>
      <c r="C15" s="10">
        <f>SUM(C5:C14)</f>
        <v/>
      </c>
      <c r="D15" s="10">
        <f>SUM(D5:D14)</f>
        <v/>
      </c>
      <c r="E15" s="10">
        <f>SUM(E5:E14)</f>
        <v/>
      </c>
      <c r="F15" s="10">
        <f>SUM(F5:F14)</f>
        <v/>
      </c>
    </row>
    <row r="16">
      <c r="A16" s="11" t="inlineStr">
        <is>
          <t>Tỉ lệ Pass</t>
        </is>
      </c>
      <c r="C16" s="12">
        <f>IF(B15=0,0,C15/B15)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3" t="inlineStr">
        <is>
          <t>Thông tin</t>
        </is>
      </c>
      <c r="B1" s="13" t="inlineStr">
        <is>
          <t>Giá trị</t>
        </is>
      </c>
    </row>
    <row r="2">
      <c r="A2" s="14" t="inlineStr">
        <is>
          <t>Base URL</t>
        </is>
      </c>
      <c r="B2" s="14" t="inlineStr">
        <is>
          <t>http://localhost:8080</t>
        </is>
      </c>
    </row>
    <row r="3">
      <c r="A3" s="14" t="inlineStr">
        <is>
          <t>Hiệu trưởng</t>
        </is>
      </c>
      <c r="B3" s="14" t="inlineStr">
        <is>
          <t>admin@carenest.com / Admin@123 (tạo sẵn khi start app)</t>
        </is>
      </c>
    </row>
    <row r="4">
      <c r="A4" s="14" t="inlineStr">
        <is>
          <t>Phó hiệu trưởng</t>
        </is>
      </c>
      <c r="B4" s="14" t="inlineStr">
        <is>
          <t>pho&lt;runId&gt;@gmail.com / vice1234 (TC tạo)</t>
        </is>
      </c>
    </row>
    <row r="5">
      <c r="A5" s="14" t="inlineStr">
        <is>
          <t>Giáo viên</t>
        </is>
      </c>
      <c r="B5" s="14" t="inlineStr">
        <is>
          <t>gv&lt;runId&gt;@gmail.com / teacher123 (TC tạo)</t>
        </is>
      </c>
    </row>
    <row r="6">
      <c r="A6" s="14" t="inlineStr">
        <is>
          <t>Nhân viên</t>
        </is>
      </c>
      <c r="B6" s="14" t="inlineStr">
        <is>
          <t>nv&lt;runId&gt;@gmail.com / staff1234 (TC tạo)</t>
        </is>
      </c>
    </row>
    <row r="7">
      <c r="A7" s="14" t="inlineStr">
        <is>
          <t>Phụ huynh</t>
        </is>
      </c>
      <c r="B7" s="14" t="inlineStr">
        <is>
          <t>09&lt;runId&gt; / mật khẩu mặc định = SĐT (TC tạo khi thêm trẻ)</t>
        </is>
      </c>
    </row>
    <row r="8">
      <c r="A8" s="14" t="inlineStr">
        <is>
          <t>runId</t>
        </is>
      </c>
      <c r="B8" s="14" t="inlineStr">
        <is>
          <t>8 số cuối của thời điểm chạy, sinh ở TC001 để mỗi lần chạy không trùng dữ liệu</t>
        </is>
      </c>
    </row>
    <row r="9">
      <c r="A9" s="14" t="inlineStr">
        <is>
          <t>File mẫu</t>
        </is>
      </c>
      <c r="B9" s="14" t="inlineStr">
        <is>
          <t>postman/sample.png (ảnh hợp lệ), postman/not-image.png (không phải ảnh)</t>
        </is>
      </c>
    </row>
    <row r="10">
      <c r="A10" s="14" t="inlineStr">
        <is>
          <t>Header mobile</t>
        </is>
      </c>
      <c r="B10" s="14" t="inlineStr">
        <is>
          <t>X-Client-Type: mobile -&gt; token trả trong body; không có header -&gt; token trong cookie (web)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0" customWidth="1" min="3" max="3"/>
  </cols>
  <sheetData>
    <row r="1">
      <c r="A1" s="8" t="inlineStr">
        <is>
          <t>Code</t>
        </is>
      </c>
      <c r="B1" s="8" t="inlineStr">
        <is>
          <t>HTTP</t>
        </is>
      </c>
      <c r="C1" s="8" t="inlineStr">
        <is>
          <t>Ý nghĩa</t>
        </is>
      </c>
    </row>
    <row r="2">
      <c r="A2" s="15" t="n">
        <v>0</v>
      </c>
      <c r="B2" s="15" t="n">
        <v>200</v>
      </c>
      <c r="C2" s="15" t="inlineStr">
        <is>
          <t>Thành công</t>
        </is>
      </c>
    </row>
    <row r="3">
      <c r="A3" s="15" t="n">
        <v>1000</v>
      </c>
      <c r="B3" s="15" t="n">
        <v>400</v>
      </c>
      <c r="C3" s="15" t="inlineStr">
        <is>
          <t>Dữ liệu không hợp lệ (data chứa lỗi từng trường)</t>
        </is>
      </c>
    </row>
    <row r="4">
      <c r="A4" s="15" t="n">
        <v>1001</v>
      </c>
      <c r="B4" s="15" t="n">
        <v>400</v>
      </c>
      <c r="C4" s="15" t="inlineStr">
        <is>
          <t>Dữ liệu sai định dạng (JSON hỏng, enum sai)</t>
        </is>
      </c>
    </row>
    <row r="5">
      <c r="A5" s="15" t="n">
        <v>415</v>
      </c>
      <c r="B5" s="15" t="n">
        <v>415</v>
      </c>
      <c r="C5" s="15" t="inlineStr">
        <is>
          <t>Sai Content-Type, cần multipart/form-data (format GlobalExceptionHandler: {code, desc, data})</t>
        </is>
      </c>
    </row>
    <row r="6">
      <c r="A6" s="15" t="n">
        <v>1100</v>
      </c>
      <c r="B6" s="15" t="n">
        <v>401</v>
      </c>
      <c r="C6" s="15" t="inlineStr">
        <is>
          <t>Chưa đăng nhập</t>
        </is>
      </c>
    </row>
    <row r="7">
      <c r="A7" s="15" t="n">
        <v>1101</v>
      </c>
      <c r="B7" s="15" t="n">
        <v>401</v>
      </c>
      <c r="C7" s="15" t="inlineStr">
        <is>
          <t>Sai tài khoản hoặc mật khẩu</t>
        </is>
      </c>
    </row>
    <row r="8">
      <c r="A8" s="15" t="n">
        <v>1102</v>
      </c>
      <c r="B8" s="15" t="n">
        <v>403</v>
      </c>
      <c r="C8" s="15" t="inlineStr">
        <is>
          <t>Tài khoản đã bị khoá</t>
        </is>
      </c>
    </row>
    <row r="9">
      <c r="A9" s="15" t="n">
        <v>1103</v>
      </c>
      <c r="B9" s="15" t="n">
        <v>403</v>
      </c>
      <c r="C9" s="15" t="inlineStr">
        <is>
          <t>Không có quyền</t>
        </is>
      </c>
    </row>
    <row r="10">
      <c r="A10" s="15" t="n">
        <v>1104</v>
      </c>
      <c r="B10" s="15" t="n">
        <v>401</v>
      </c>
      <c r="C10" s="15" t="inlineStr">
        <is>
          <t>Token không hợp lệ / hết hạn / đã thu hồi</t>
        </is>
      </c>
    </row>
    <row r="11">
      <c r="A11" s="15" t="n">
        <v>1200</v>
      </c>
      <c r="B11" s="15" t="n">
        <v>409</v>
      </c>
      <c r="C11" s="15" t="inlineStr">
        <is>
          <t>Email đã được sử dụng</t>
        </is>
      </c>
    </row>
    <row r="12">
      <c r="A12" s="15" t="n">
        <v>1201</v>
      </c>
      <c r="B12" s="15" t="n">
        <v>409</v>
      </c>
      <c r="C12" s="15" t="inlineStr">
        <is>
          <t>SĐT đã được sử dụng</t>
        </is>
      </c>
    </row>
    <row r="13">
      <c r="A13" s="15" t="n">
        <v>1202</v>
      </c>
      <c r="B13" s="15" t="n">
        <v>400</v>
      </c>
      <c r="C13" s="15" t="inlineStr">
        <is>
          <t>Xác nhận mật khẩu không khớp</t>
        </is>
      </c>
    </row>
    <row r="14">
      <c r="A14" s="15" t="n">
        <v>1203</v>
      </c>
      <c r="B14" s="15" t="n">
        <v>404</v>
      </c>
      <c r="C14" s="15" t="inlineStr">
        <is>
          <t>Tài khoản không tồn tại</t>
        </is>
      </c>
    </row>
    <row r="15">
      <c r="A15" s="15" t="n">
        <v>1204</v>
      </c>
      <c r="B15" s="15" t="n">
        <v>400</v>
      </c>
      <c r="C15" s="15" t="inlineStr">
        <is>
          <t>Mật khẩu hiện tại sai</t>
        </is>
      </c>
    </row>
    <row r="16">
      <c r="A16" s="15" t="n">
        <v>1205</v>
      </c>
      <c r="B16" s="15" t="n">
        <v>400</v>
      </c>
      <c r="C16" s="15" t="inlineStr">
        <is>
          <t>Mật khẩu mới trùng mật khẩu cũ</t>
        </is>
      </c>
    </row>
    <row r="17">
      <c r="A17" s="15" t="n">
        <v>1206</v>
      </c>
      <c r="B17" s="15" t="n">
        <v>403</v>
      </c>
      <c r="C17" s="15" t="inlineStr">
        <is>
          <t>Phụ huynh không thuộc quản lý</t>
        </is>
      </c>
    </row>
    <row r="18">
      <c r="A18" s="15" t="n">
        <v>1207</v>
      </c>
      <c r="B18" s="15" t="n">
        <v>400</v>
      </c>
      <c r="C18" s="15" t="inlineStr">
        <is>
          <t>Role không được phép tạo</t>
        </is>
      </c>
    </row>
    <row r="19">
      <c r="A19" s="15" t="n">
        <v>1208</v>
      </c>
      <c r="B19" s="15" t="n">
        <v>404</v>
      </c>
      <c r="C19" s="15" t="inlineStr">
        <is>
          <t>Giáo viên không tồn tại</t>
        </is>
      </c>
    </row>
    <row r="20">
      <c r="A20" s="15" t="n">
        <v>1209</v>
      </c>
      <c r="B20" s="15" t="n">
        <v>400</v>
      </c>
      <c r="C20" s="15" t="inlineStr">
        <is>
          <t>Không tự khoá/mở khoá mình</t>
        </is>
      </c>
    </row>
    <row r="21">
      <c r="A21" s="15" t="n">
        <v>1210</v>
      </c>
      <c r="B21" s="15" t="n">
        <v>409</v>
      </c>
      <c r="C21" s="15" t="inlineStr">
        <is>
          <t>Tài khoản đã có dữ liệu, không xoá được (hãy khoá)</t>
        </is>
      </c>
    </row>
    <row r="22">
      <c r="A22" s="15" t="n">
        <v>1211</v>
      </c>
      <c r="B22" s="15" t="n">
        <v>400</v>
      </c>
      <c r="C22" s="15" t="inlineStr">
        <is>
          <t>Nhân sự phải có email</t>
        </is>
      </c>
    </row>
    <row r="23">
      <c r="A23" s="15" t="n">
        <v>1212</v>
      </c>
      <c r="B23" s="15" t="n">
        <v>400</v>
      </c>
      <c r="C23" s="15" t="inlineStr">
        <is>
          <t>Phụ huynh phải có SĐT</t>
        </is>
      </c>
    </row>
    <row r="24">
      <c r="A24" s="15" t="n">
        <v>1213</v>
      </c>
      <c r="B24" s="15" t="n">
        <v>400</v>
      </c>
      <c r="C24" s="15" t="inlineStr">
        <is>
          <t>Chỉ đổi role cho tài khoản nhân sự</t>
        </is>
      </c>
    </row>
    <row r="25">
      <c r="A25" s="15" t="n">
        <v>1214</v>
      </c>
      <c r="B25" s="15" t="n">
        <v>400</v>
      </c>
      <c r="C25" s="15" t="inlineStr">
        <is>
          <t>Không thao tác trên chính mình</t>
        </is>
      </c>
    </row>
    <row r="26">
      <c r="A26" s="15" t="n">
        <v>1304</v>
      </c>
      <c r="B26" s="15" t="n">
        <v>501</v>
      </c>
      <c r="C26" s="15" t="inlineStr">
        <is>
          <t>Chưa hỗ trợ OTP qua SMS</t>
        </is>
      </c>
    </row>
    <row r="27">
      <c r="A27" s="15" t="n">
        <v>1400</v>
      </c>
      <c r="B27" s="15" t="n">
        <v>400</v>
      </c>
      <c r="C27" s="15" t="inlineStr">
        <is>
          <t>File không phải ảnh JPG/PNG/WebP</t>
        </is>
      </c>
    </row>
    <row r="28">
      <c r="A28" s="15" t="n">
        <v>1401</v>
      </c>
      <c r="B28" s="15" t="n">
        <v>413</v>
      </c>
      <c r="C28" s="15" t="inlineStr">
        <is>
          <t>Ảnh quá 5MB</t>
        </is>
      </c>
    </row>
    <row r="29">
      <c r="A29" s="15" t="n">
        <v>1402</v>
      </c>
      <c r="B29" s="15" t="n">
        <v>503</v>
      </c>
      <c r="C29" s="15" t="inlineStr">
        <is>
          <t>Lỗi lưu ảnh</t>
        </is>
      </c>
    </row>
    <row r="30">
      <c r="A30" s="15" t="n">
        <v>1403</v>
      </c>
      <c r="B30" s="15" t="n">
        <v>404</v>
      </c>
      <c r="C30" s="15" t="inlineStr">
        <is>
          <t>Ảnh không tồn tại</t>
        </is>
      </c>
    </row>
    <row r="31">
      <c r="A31" s="15" t="n">
        <v>1500</v>
      </c>
      <c r="B31" s="15" t="n">
        <v>404</v>
      </c>
      <c r="C31" s="15" t="inlineStr">
        <is>
          <t>Trẻ không tồn tại / không phải con mình</t>
        </is>
      </c>
    </row>
    <row r="32">
      <c r="A32" s="15" t="n">
        <v>1501</v>
      </c>
      <c r="B32" s="15" t="n">
        <v>404</v>
      </c>
      <c r="C32" s="15" t="inlineStr">
        <is>
          <t>Người đón không tồn tại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2026-10-03T11:03:47Z</dcterms:created>
  <dcterms:modified xsi:type="dcterms:W3CDTF">2026-10-03T11:03:47Z</dcterms:modified>
</cp:coreProperties>
</file>